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96396229034c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hVien" sheetId="1" r:id="R236467cf149d4513"/>
    <x:sheet xmlns:r="http://schemas.openxmlformats.org/officeDocument/2006/relationships" name="KhoaHoc" sheetId="2" r:id="Reb34b0e72b9e4040"/>
    <x:sheet xmlns:r="http://schemas.openxmlformats.org/officeDocument/2006/relationships" name="TRIM_Demo" sheetId="3" r:id="Rb4a4c0c6980b447a"/>
    <x:sheet xmlns:r="http://schemas.openxmlformats.org/officeDocument/2006/relationships" name="HuongDan" sheetId="4" r:id="R8b10e762f39b4bf0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#,##0"/>
    <x:numFmt numFmtId="202" formatCode="0"/>
  </x:numFmts>
  <x:fonts count="3">
    <x:font>
      <x:sz val="11"/>
      <x:name val="Carlito"/>
    </x:font>
    <x:font>
      <x:sz val="11"/>
      <x:color rgb="FF17233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B173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2" xfId="0" applyNumberFormat="1" applyFont="1" applyFill="1" applyBorder="1" applyAlignment="1">
      <x:alignment vertical="center" wrapText="0"/>
    </x:xf>
    <x:xf numFmtId="0" fontId="2" fillId="2" borderId="3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">
    <x:dxf>
      <x:font>
        <x:color rgb="FF753600"/>
      </x:font>
      <x:fill>
        <x:patternFill patternType="solid">
          <x:bgColor rgb="FFFFF0E0"/>
        </x:patternFill>
      </x:fill>
    </x:dxf>
    <x:dxf>
      <x:font>
        <x:color rgb="FF753600"/>
      </x:font>
      <x:fill>
        <x:patternFill patternType="solid">
          <x:bgColor rgb="FFFFF0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f72a1989aa45d1" /><Relationship Type="http://schemas.openxmlformats.org/officeDocument/2006/relationships/theme" Target="/xl/theme/theme1.xml" Id="R87f9d85a753a4493" /><Relationship Type="http://schemas.openxmlformats.org/officeDocument/2006/relationships/sharedStrings" Target="/xl/sharedStrings.xml" Id="Rf0ebcaf3ee26491e" /><Relationship Type="http://schemas.openxmlformats.org/officeDocument/2006/relationships/worksheet" Target="/xl/worksheets/sheet1.xml" Id="R236467cf149d4513" /><Relationship Type="http://schemas.openxmlformats.org/officeDocument/2006/relationships/worksheet" Target="/xl/worksheets/sheet2.xml" Id="Reb34b0e72b9e4040" /><Relationship Type="http://schemas.openxmlformats.org/officeDocument/2006/relationships/worksheet" Target="/xl/worksheets/sheet3.xml" Id="Rb4a4c0c6980b447a" /><Relationship Type="http://schemas.openxmlformats.org/officeDocument/2006/relationships/worksheet" Target="/xl/worksheets/sheet4.xml" Id="R8b10e762f39b4bf0" /></Relationships>
</file>

<file path=xl/tables/table1.xml><?xml version="1.0" encoding="utf-8"?>
<x:table xmlns:x="http://schemas.openxmlformats.org/spreadsheetml/2006/main" id="1" name="SinhVienTable" displayName="SinhVienTable" ref="A1:H201" headerRowCount="1" totalsRowCount="0" totalsRowShown="0">
  <x:autoFilter ref="A1:H201">
    <x:filterColumn colId="3">
      <x:filters>
        <x:filter val="CNTT"/>
      </x:filters>
    </x:filterColumn>
    <x:filterColumn colId="5">
      <x:customFilters>
        <x:customFilter operator="lessThan" val="7"/>
      </x:customFilters>
    </x:filterColumn>
  </x:autoFilter>
  <x:tableColumns count="8">
    <x:tableColumn id="1" name="Mã sinh viên"/>
    <x:tableColumn id="2" name="Họ tên gốc"/>
    <x:tableColumn id="3" name="Họ tên chuẩn"/>
    <x:tableColumn id="4" name="Khoa"/>
    <x:tableColumn id="5" name="Mã khóa học"/>
    <x:tableColumn id="6" name="Điểm chuyên cần"/>
    <x:tableColumn id="7" name="Nguồn đăng ký"/>
    <x:tableColumn id="8" name="Trạng thá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hoaHocTable" displayName="KhoaHocTable" ref="A1:H201" headerRowCount="1" totalsRowCount="0" totalsRowShown="0">
  <x:autoFilter ref="A1:H201">
    <x:filterColumn colId="2">
      <x:filters>
        <x:filter val="CNTT"/>
      </x:filters>
    </x:filterColumn>
    <x:filterColumn colId="3">
      <x:filters>
        <x:filter val="Cơ bản"/>
      </x:filters>
    </x:filterColumn>
    <x:filterColumn colId="5">
      <x:filters>
        <x:filter val="Đang mở"/>
      </x:filters>
    </x:filterColumn>
  </x:autoFilter>
  <x:tableColumns count="8">
    <x:tableColumn id="1" name="Mã khóa học"/>
    <x:tableColumn id="2" name="Tên khóa học"/>
    <x:tableColumn id="3" name="Khoa"/>
    <x:tableColumn id="4" name="Trình độ"/>
    <x:tableColumn id="5" name="Hình thức"/>
    <x:tableColumn id="6" name="Trạng thái"/>
    <x:tableColumn id="7" name="Số buổi"/>
    <x:tableColumn id="8" name="Học phí VN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imTable" displayName="TrimTable" ref="A1:I6" headerRowCount="1" totalsRowCount="0" totalsRowShown="0">
  <x:autoFilter ref="A1:I6"/>
  <x:tableColumns count="9">
    <x:tableColumn id="1" name="Tình huống"/>
    <x:tableColumn id="2" name="Tên gốc"/>
    <x:tableColumn id="3" name="Sau TRIM"/>
    <x:tableColumn id="4" name="Sau chuẩn hóa"/>
    <x:tableColumn id="5" name="Tên cần tìm"/>
    <x:tableColumn id="6" name="Khớp TRIM"/>
    <x:tableColumn id="7" name="Khớp chuẩn hóa"/>
    <x:tableColumn id="8" name="LEN gốc"/>
    <x:tableColumn id="9" name="LEN chuẩ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uongDanTable" displayName="HuongDanTable" ref="A1:B23" headerRowCount="1" totalsRowCount="0" totalsRowShown="0">
  <x:autoFilter ref="A1:B23"/>
  <x:tableColumns count="2">
    <x:tableColumn id="1" name="Nội dung"/>
    <x:tableColumn id="2" name="Thao tác hoặc kết quả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89a623b1db42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6c6fb615d842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20d9c3dc81c47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0ff3b1e440a48cd" /></Relationships>
</file>

<file path=xl/worksheets/sheet1.xml><?xml version="1.0" encoding="utf-8"?>
<x:worksheet xmlns:x="http://schemas.openxmlformats.org/spreadsheetml/2006/main">
  <x:sheetPr filterMode="1">
    <x:tabColor rgb="FF0B173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27" hidden="0" customWidth="1"/>
    <x:col min="4" max="4" width="12" hidden="0" customWidth="1"/>
    <x:col min="5" max="5" width="16" hidden="0" customWidth="1"/>
    <x:col min="6" max="6" width="18" hidden="0" customWidth="1"/>
    <x:col min="7" max="7" width="20" hidden="0" customWidth="1"/>
    <x:col min="8" max="8" width="22" hidden="0" customWidth="1"/>
  </x:cols>
  <x:sheetData>
    <x:row r="1" ht="38" customHeight="1">
      <x:c r="A1" s="12" t="str">
        <x:v>Mã sinh viên</x:v>
      </x:c>
      <x:c r="B1" s="13" t="str">
        <x:v>Họ tên gốc</x:v>
      </x:c>
      <x:c r="C1" s="13" t="str">
        <x:v>Họ tên chuẩn</x:v>
      </x:c>
      <x:c r="D1" s="13" t="str">
        <x:v>Khoa</x:v>
      </x:c>
      <x:c r="E1" s="13" t="str">
        <x:v>Mã khóa học</x:v>
      </x:c>
      <x:c r="F1" s="13" t="str">
        <x:v>Điểm chuyên cần</x:v>
      </x:c>
      <x:c r="G1" s="13" t="str">
        <x:v>Nguồn đăng ký</x:v>
      </x:c>
      <x:c r="H1" s="14" t="str">
        <x:v>Trạng thái</x:v>
      </x:c>
    </x:row>
    <x:row r="2" ht="27" customHeight="1">
      <x:c r="A2" s="15" t="str">
        <x:v>SV001</x:v>
      </x:c>
      <x:c r="B2" s="15" t="str">
        <x:v>  Nguyễn   Văn An  </x:v>
      </x:c>
      <x:c r="C2" s="15" t="str">
        <x:f>TRIM(B2)</x:f>
        <x:v>Nguyễn Văn An</x:v>
      </x:c>
      <x:c r="D2" s="15" t="str">
        <x:v>CNTT</x:v>
      </x:c>
      <x:c r="E2" s="15" t="str">
        <x:v>KH001</x:v>
      </x:c>
      <x:c r="F2" s="17" t="n">
        <x:v>6.5</x:v>
      </x:c>
      <x:c r="G2" s="15" t="str">
        <x:v>Website</x:v>
      </x:c>
      <x:c r="H2" s="15" t="str">
        <x:v>Chờ xác nhận</x:v>
      </x:c>
    </x:row>
    <x:row r="3" ht="27" customHeight="1" hidden="1">
      <x:c r="A3" s="15" t="str">
        <x:v>SV002</x:v>
      </x:c>
      <x:c r="B3" s="15" t="str">
        <x:v>Trần Thị Bình</x:v>
      </x:c>
      <x:c r="C3" s="15" t="str">
        <x:f>TRIM(B3)</x:f>
        <x:v>Trần Thị Bình</x:v>
      </x:c>
      <x:c r="D3" s="15" t="str">
        <x:v>CNTT</x:v>
      </x:c>
      <x:c r="E3" s="15" t="str">
        <x:v>KH002</x:v>
      </x:c>
      <x:c r="F3" s="17" t="n">
        <x:v>7</x:v>
      </x:c>
      <x:c r="G3" s="15" t="str">
        <x:v>Google Form</x:v>
      </x:c>
      <x:c r="H3" s="15" t="str">
        <x:v>Đã xác nhận</x:v>
      </x:c>
    </x:row>
    <x:row r="4" ht="27" customHeight="1" hidden="1">
      <x:c r="A4" s="15" t="str">
        <x:v>SV003</x:v>
      </x:c>
      <x:c r="B4" s="15" t="str">
        <x:v>Lê Minh Đức</x:v>
      </x:c>
      <x:c r="C4" s="15" t="str">
        <x:f>TRIM(B4)</x:f>
        <x:v>Lê Minh Đức</x:v>
      </x:c>
      <x:c r="D4" s="15" t="str">
        <x:v>QTKD</x:v>
      </x:c>
      <x:c r="E4" s="15" t="str">
        <x:v>KH003</x:v>
      </x:c>
      <x:c r="F4" s="17" t="n">
        <x:v>6</x:v>
      </x:c>
      <x:c r="G4" s="15" t="str">
        <x:v>Facebook Ads</x:v>
      </x:c>
      <x:c r="H4" s="15" t="str">
        <x:v>Đã xác nhận</x:v>
      </x:c>
    </x:row>
    <x:row r="5" ht="27" customHeight="1">
      <x:c r="A5" s="15" t="str">
        <x:v>SV004</x:v>
      </x:c>
      <x:c r="B5" s="15" t="str">
        <x:v>Phạm Thu Hà</x:v>
      </x:c>
      <x:c r="C5" s="15" t="str">
        <x:f>TRIM(B5)</x:f>
        <x:v>Phạm Thu Hà</x:v>
      </x:c>
      <x:c r="D5" s="15" t="str">
        <x:v>CNTT</x:v>
      </x:c>
      <x:c r="E5" s="15" t="str">
        <x:v>KH004</x:v>
      </x:c>
      <x:c r="F5" s="17" t="n">
        <x:v>6.9</x:v>
      </x:c>
      <x:c r="G5" s="15" t="str">
        <x:v>Zalo OA</x:v>
      </x:c>
      <x:c r="H5" s="15" t="str">
        <x:v>Đã xác nhận</x:v>
      </x:c>
    </x:row>
    <x:row r="6" ht="27" customHeight="1">
      <x:c r="A6" s="15" t="str">
        <x:v>SV005</x:v>
      </x:c>
      <x:c r="B6" s="15" t="str">
        <x:v>Võ Hoàng Nam</x:v>
      </x:c>
      <x:c r="C6" s="15" t="str">
        <x:f>TRIM(B6)</x:f>
        <x:v>Võ Hoàng Nam</x:v>
      </x:c>
      <x:c r="D6" s="15" t="str">
        <x:v>CNTT</x:v>
      </x:c>
      <x:c r="E6" s="15" t="str">
        <x:v>KH005</x:v>
      </x:c>
      <x:c r="F6" s="17" t="n">
        <x:v>0</x:v>
      </x:c>
      <x:c r="G6" s="15" t="str">
        <x:v>Website</x:v>
      </x:c>
      <x:c r="H6" s="15" t="str">
        <x:v>Đã xác nhận</x:v>
      </x:c>
    </x:row>
    <x:row r="7" ht="27" customHeight="1" hidden="1">
      <x:c r="A7" s="15" t="str">
        <x:v>SV006</x:v>
      </x:c>
      <x:c r="B7" s="15" t="str">
        <x:v>Bùi Ngọc Linh</x:v>
      </x:c>
      <x:c r="C7" s="15" t="str">
        <x:f>TRIM(B7)</x:f>
        <x:v>Bùi Ngọc Linh</x:v>
      </x:c>
      <x:c r="D7" s="15" t="str">
        <x:v>CNTT</x:v>
      </x:c>
      <x:c r="E7" s="15" t="str">
        <x:v>KH006</x:v>
      </x:c>
      <x:c r="F7" s="17" t="n">
        <x:v>10</x:v>
      </x:c>
      <x:c r="G7" s="15" t="str">
        <x:v>Google Form</x:v>
      </x:c>
      <x:c r="H7" s="15" t="str">
        <x:v>Đã xác nhận</x:v>
      </x:c>
    </x:row>
    <x:row r="8" ht="27" customHeight="1" hidden="1">
      <x:c r="A8" s="15" t="str">
        <x:v>SV007</x:v>
      </x:c>
      <x:c r="B8" s="15" t="str">
        <x:v>Võ Văn Đức</x:v>
      </x:c>
      <x:c r="C8" s="15" t="str">
        <x:f>TRIM(B8)</x:f>
        <x:v>Võ Văn Đức</x:v>
      </x:c>
      <x:c r="D8" s="15" t="str">
        <x:v>DTVT</x:v>
      </x:c>
      <x:c r="E8" s="15" t="str">
        <x:v>KH007</x:v>
      </x:c>
      <x:c r="F8" s="17" t="n">
        <x:v>7.3</x:v>
      </x:c>
      <x:c r="G8" s="15" t="str">
        <x:v>Facebook Ads</x:v>
      </x:c>
      <x:c r="H8" s="15" t="str">
        <x:v>Chờ xác nhận</x:v>
      </x:c>
    </x:row>
    <x:row r="9" ht="27" customHeight="1" hidden="1">
      <x:c r="A9" s="15" t="str">
        <x:v>SV008</x:v>
      </x:c>
      <x:c r="B9" s="15" t="str">
        <x:v>  Đặng Văn Phúc</x:v>
      </x:c>
      <x:c r="C9" s="15" t="str">
        <x:f>TRIM(B9)</x:f>
        <x:v>Đặng Văn Phúc</x:v>
      </x:c>
      <x:c r="D9" s="15" t="str">
        <x:v>CNTT</x:v>
      </x:c>
      <x:c r="E9" s="15" t="str">
        <x:v>KH008</x:v>
      </x:c>
      <x:c r="F9" s="17" t="n">
        <x:v>8</x:v>
      </x:c>
      <x:c r="G9" s="15" t="str">
        <x:v>Zalo OA</x:v>
      </x:c>
      <x:c r="H9" s="15" t="str">
        <x:v>Đã xác nhận</x:v>
      </x:c>
    </x:row>
    <x:row r="10" ht="27" customHeight="1" hidden="1">
      <x:c r="A10" s="15" t="str">
        <x:v>SV009</x:v>
      </x:c>
      <x:c r="B10" s="15" t="str">
        <x:v>Bùi Văn Thảo</x:v>
      </x:c>
      <x:c r="C10" s="15" t="str">
        <x:f>TRIM(B10)</x:f>
        <x:v>Bùi Văn Thảo</x:v>
      </x:c>
      <x:c r="D10" s="15" t="str">
        <x:v>CNTT</x:v>
      </x:c>
      <x:c r="E10" s="15" t="str">
        <x:v>KH009</x:v>
      </x:c>
      <x:c r="F10" s="17" t="n">
        <x:v>8.7</x:v>
      </x:c>
      <x:c r="G10" s="15" t="str">
        <x:v>Website</x:v>
      </x:c>
      <x:c r="H10" s="15" t="str">
        <x:v>Đã xác nhận</x:v>
      </x:c>
    </x:row>
    <x:row r="11" ht="27" customHeight="1" hidden="1">
      <x:c r="A11" s="15" t="str">
        <x:v>SV010</x:v>
      </x:c>
      <x:c r="B11" s="15" t="str">
        <x:v>Đỗ Văn Hà  </x:v>
      </x:c>
      <x:c r="C11" s="15" t="str">
        <x:f>TRIM(B11)</x:f>
        <x:v>Đỗ Văn Hà</x:v>
      </x:c>
      <x:c r="D11" s="15" t="str">
        <x:v>QTKD</x:v>
      </x:c>
      <x:c r="E11" s="15" t="str">
        <x:v>KH010</x:v>
      </x:c>
      <x:c r="F11" s="17" t="n">
        <x:v>9.4</x:v>
      </x:c>
      <x:c r="G11" s="15" t="str">
        <x:v>Google Form</x:v>
      </x:c>
      <x:c r="H11" s="15" t="str">
        <x:v>Đã xác nhận</x:v>
      </x:c>
    </x:row>
    <x:row r="12" ht="27" customHeight="1" hidden="1">
      <x:c r="A12" s="15" t="str">
        <x:v>SV011</x:v>
      </x:c>
      <x:c r="B12" s="15" t="str">
        <x:v>Hồ Văn Anh</x:v>
      </x:c>
      <x:c r="C12" s="15" t="str">
        <x:f>TRIM(B12)</x:f>
        <x:v>Hồ Văn Anh</x:v>
      </x:c>
      <x:c r="D12" s="15" t="str">
        <x:v>DTVT</x:v>
      </x:c>
      <x:c r="E12" s="15" t="str">
        <x:v>KH011</x:v>
      </x:c>
      <x:c r="F12" s="17" t="n">
        <x:v>0</x:v>
      </x:c>
      <x:c r="G12" s="15" t="str">
        <x:v>Facebook Ads</x:v>
      </x:c>
      <x:c r="H12" s="15" t="str">
        <x:v>Đã xác nhận</x:v>
      </x:c>
    </x:row>
    <x:row r="13" ht="27" customHeight="1">
      <x:c r="A13" s="15" t="str">
        <x:v>SV012</x:v>
      </x:c>
      <x:c r="B13" s="15" t="str">
        <x:v>Ngô Văn   Tâm</x:v>
      </x:c>
      <x:c r="C13" s="15" t="str">
        <x:f>TRIM(B13)</x:f>
        <x:v>Ngô Văn Tâm</x:v>
      </x:c>
      <x:c r="D13" s="15" t="str">
        <x:v>CNTT</x:v>
      </x:c>
      <x:c r="E13" s="15" t="str">
        <x:v>KH012</x:v>
      </x:c>
      <x:c r="F13" s="17" t="n">
        <x:v>0.7</x:v>
      </x:c>
      <x:c r="G13" s="15" t="str">
        <x:v>Zalo OA</x:v>
      </x:c>
      <x:c r="H13" s="15" t="str">
        <x:v>Đã xác nhận</x:v>
      </x:c>
    </x:row>
    <x:row r="14" ht="27" customHeight="1">
      <x:c r="A14" s="15" t="str">
        <x:v>SV013</x:v>
      </x:c>
      <x:c r="B14" s="15" t="str">
        <x:v>Dương Văn Nam</x:v>
      </x:c>
      <x:c r="C14" s="15" t="str">
        <x:f>TRIM(B14)</x:f>
        <x:v>Dương Văn Nam</x:v>
      </x:c>
      <x:c r="D14" s="15" t="str">
        <x:v>CNTT</x:v>
      </x:c>
      <x:c r="E14" s="15" t="str">
        <x:v>KH013</x:v>
      </x:c>
      <x:c r="F14" s="17" t="n">
        <x:v>1.4</x:v>
      </x:c>
      <x:c r="G14" s="15" t="str">
        <x:v>Website</x:v>
      </x:c>
      <x:c r="H14" s="15" t="str">
        <x:v>Chờ xác nhận</x:v>
      </x:c>
    </x:row>
    <x:row r="15" ht="27" customHeight="1" hidden="1">
      <x:c r="A15" s="15" t="str">
        <x:v>SV014</x:v>
      </x:c>
      <x:c r="B15" s="15" t="str">
        <x:v>Lý Văn Trang</x:v>
      </x:c>
      <x:c r="C15" s="15" t="str">
        <x:f>TRIM(B15)</x:f>
        <x:v>Lý Văn Trang</x:v>
      </x:c>
      <x:c r="D15" s="15" t="str">
        <x:v>QTKD</x:v>
      </x:c>
      <x:c r="E15" s="15" t="str">
        <x:v>KH014</x:v>
      </x:c>
      <x:c r="F15" s="17" t="n">
        <x:v>2.1</x:v>
      </x:c>
      <x:c r="G15" s="15" t="str">
        <x:v>Google Form</x:v>
      </x:c>
      <x:c r="H15" s="15" t="str">
        <x:v>Đã xác nhận</x:v>
      </x:c>
    </x:row>
    <x:row r="16" ht="27" customHeight="1" hidden="1">
      <x:c r="A16" s="15" t="str">
        <x:v>SV015</x:v>
      </x:c>
      <x:c r="B16" s="15" t="str">
        <x:v>  Đinh Văn Kiệt</x:v>
      </x:c>
      <x:c r="C16" s="15" t="str">
        <x:f>TRIM(B16)</x:f>
        <x:v>Đinh Văn Kiệt</x:v>
      </x:c>
      <x:c r="D16" s="15" t="str">
        <x:v>DTVT</x:v>
      </x:c>
      <x:c r="E16" s="15" t="str">
        <x:v>KH015</x:v>
      </x:c>
      <x:c r="F16" s="17" t="n">
        <x:v>2.8</x:v>
      </x:c>
      <x:c r="G16" s="15" t="str">
        <x:v>Facebook Ads</x:v>
      </x:c>
      <x:c r="H16" s="15" t="str">
        <x:v>Đã xác nhận</x:v>
      </x:c>
    </x:row>
    <x:row r="17" ht="27" customHeight="1">
      <x:c r="A17" s="15" t="str">
        <x:v>SV016</x:v>
      </x:c>
      <x:c r="B17" s="15" t="str">
        <x:v>Phan Văn Linh</x:v>
      </x:c>
      <x:c r="C17" s="15" t="str">
        <x:f>TRIM(B17)</x:f>
        <x:v>Phan Văn Linh</x:v>
      </x:c>
      <x:c r="D17" s="15" t="str">
        <x:v>CNTT</x:v>
      </x:c>
      <x:c r="E17" s="15" t="str">
        <x:v>KH016</x:v>
      </x:c>
      <x:c r="F17" s="17" t="n">
        <x:v>3.5</x:v>
      </x:c>
      <x:c r="G17" s="15" t="str">
        <x:v>Zalo OA</x:v>
      </x:c>
      <x:c r="H17" s="15" t="str">
        <x:v>Đã xác nhận</x:v>
      </x:c>
    </x:row>
    <x:row r="18" ht="27" customHeight="1">
      <x:c r="A18" s="15" t="str">
        <x:v>SV017</x:v>
      </x:c>
      <x:c r="B18" s="15" t="str">
        <x:v>Mai Văn Nhân</x:v>
      </x:c>
      <x:c r="C18" s="15" t="str">
        <x:f>TRIM(B18)</x:f>
        <x:v>Mai Văn Nhân</x:v>
      </x:c>
      <x:c r="D18" s="15" t="str">
        <x:v>CNTT</x:v>
      </x:c>
      <x:c r="E18" s="15" t="str">
        <x:v>KH017</x:v>
      </x:c>
      <x:c r="F18" s="17" t="n">
        <x:v>4.2</x:v>
      </x:c>
      <x:c r="G18" s="15" t="str">
        <x:v>Website</x:v>
      </x:c>
      <x:c r="H18" s="15" t="str">
        <x:v>Đã xác nhận</x:v>
      </x:c>
    </x:row>
    <x:row r="19" ht="27" customHeight="1" hidden="1">
      <x:c r="A19" s="15" t="str">
        <x:v>SV018</x:v>
      </x:c>
      <x:c r="B19" s="15" t="str">
        <x:v>Đào Văn Yến</x:v>
      </x:c>
      <x:c r="C19" s="15" t="str">
        <x:f>TRIM(B19)</x:f>
        <x:v>Đào Văn Yến</x:v>
      </x:c>
      <x:c r="D19" s="15" t="str">
        <x:v>QTKD</x:v>
      </x:c>
      <x:c r="E19" s="15" t="str">
        <x:v>KH018</x:v>
      </x:c>
      <x:c r="F19" s="17" t="n">
        <x:v>4.9</x:v>
      </x:c>
      <x:c r="G19" s="15" t="str">
        <x:v>Google Form</x:v>
      </x:c>
      <x:c r="H19" s="15" t="str">
        <x:v>Đã xác nhận</x:v>
      </x:c>
    </x:row>
    <x:row r="20" ht="27" customHeight="1" hidden="1">
      <x:c r="A20" s="15" t="str">
        <x:v>SV019</x:v>
      </x:c>
      <x:c r="B20" s="15" t="str">
        <x:v>Cao Văn Huy  </x:v>
      </x:c>
      <x:c r="C20" s="15" t="str">
        <x:f>TRIM(B20)</x:f>
        <x:v>Cao Văn Huy</x:v>
      </x:c>
      <x:c r="D20" s="15" t="str">
        <x:v>DTVT</x:v>
      </x:c>
      <x:c r="E20" s="15" t="str">
        <x:v>KH019</x:v>
      </x:c>
      <x:c r="F20" s="17" t="n">
        <x:v>5.6</x:v>
      </x:c>
      <x:c r="G20" s="15" t="str">
        <x:v>Facebook Ads</x:v>
      </x:c>
      <x:c r="H20" s="15" t="str">
        <x:v>Chờ xác nhận</x:v>
      </x:c>
    </x:row>
    <x:row r="21" ht="27" customHeight="1">
      <x:c r="A21" s="15" t="str">
        <x:v>SV020</x:v>
      </x:c>
      <x:c r="B21" s="15" t="str">
        <x:v>Tạ Văn Long</x:v>
      </x:c>
      <x:c r="C21" s="15" t="str">
        <x:f>TRIM(B21)</x:f>
        <x:v>Tạ Văn Long</x:v>
      </x:c>
      <x:c r="D21" s="15" t="str">
        <x:v>CNTT</x:v>
      </x:c>
      <x:c r="E21" s="15" t="str">
        <x:v>KH020</x:v>
      </x:c>
      <x:c r="F21" s="17" t="n">
        <x:v>6.3</x:v>
      </x:c>
      <x:c r="G21" s="15" t="str">
        <x:v>Zalo OA</x:v>
      </x:c>
      <x:c r="H21" s="15" t="str">
        <x:v>Đã xác nhận</x:v>
      </x:c>
    </x:row>
    <x:row r="22" ht="27" customHeight="1" hidden="1">
      <x:c r="A22" s="15" t="str">
        <x:v>SV021</x:v>
      </x:c>
      <x:c r="B22" s="15" t="str">
        <x:v>Nguyễn Thị Bình</x:v>
      </x:c>
      <x:c r="C22" s="15" t="str">
        <x:f>TRIM(B22)</x:f>
        <x:v>Nguyễn Thị Bình</x:v>
      </x:c>
      <x:c r="D22" s="15" t="str">
        <x:v>CNTT</x:v>
      </x:c>
      <x:c r="E22" s="15" t="str">
        <x:v>KH021</x:v>
      </x:c>
      <x:c r="F22" s="17" t="n">
        <x:v>7</x:v>
      </x:c>
      <x:c r="G22" s="15" t="str">
        <x:v>Website</x:v>
      </x:c>
      <x:c r="H22" s="15" t="str">
        <x:v>Đã xác nhận</x:v>
      </x:c>
    </x:row>
    <x:row r="23" ht="27" customHeight="1" hidden="1">
      <x:c r="A23" s="15" t="str">
        <x:v>SV022</x:v>
      </x:c>
      <x:c r="B23" s="15" t="str">
        <x:v>  Trần Thị Khang</x:v>
      </x:c>
      <x:c r="C23" s="15" t="str">
        <x:f>TRIM(B23)</x:f>
        <x:v>Trần Thị Khang</x:v>
      </x:c>
      <x:c r="D23" s="15" t="str">
        <x:v>QTKD</x:v>
      </x:c>
      <x:c r="E23" s="15" t="str">
        <x:v>KH022</x:v>
      </x:c>
      <x:c r="F23" s="17" t="n">
        <x:v>7.7</x:v>
      </x:c>
      <x:c r="G23" s="15" t="str">
        <x:v>Google Form</x:v>
      </x:c>
      <x:c r="H23" s="15" t="str">
        <x:v>Đã xác nhận</x:v>
      </x:c>
    </x:row>
    <x:row r="24" ht="27" customHeight="1" hidden="1">
      <x:c r="A24" s="15" t="str">
        <x:v>SV023</x:v>
      </x:c>
      <x:c r="B24" s="15" t="str">
        <x:v>Lê Thị   Quân</x:v>
      </x:c>
      <x:c r="C24" s="15" t="str">
        <x:f>TRIM(B24)</x:f>
        <x:v>Lê Thị Quân</x:v>
      </x:c>
      <x:c r="D24" s="15" t="str">
        <x:v>DTVT</x:v>
      </x:c>
      <x:c r="E24" s="15" t="str">
        <x:v>KH023</x:v>
      </x:c>
      <x:c r="F24" s="17" t="n">
        <x:v>8.4</x:v>
      </x:c>
      <x:c r="G24" s="15" t="str">
        <x:v>Facebook Ads</x:v>
      </x:c>
      <x:c r="H24" s="15" t="str">
        <x:v>Đã xác nhận</x:v>
      </x:c>
    </x:row>
    <x:row r="25" ht="27" customHeight="1" hidden="1">
      <x:c r="A25" s="15" t="str">
        <x:v>SV024</x:v>
      </x:c>
      <x:c r="B25" s="15" t="str">
        <x:v>Phạm Thị Đức</x:v>
      </x:c>
      <x:c r="C25" s="15" t="str">
        <x:f>TRIM(B25)</x:f>
        <x:v>Phạm Thị Đức</x:v>
      </x:c>
      <x:c r="D25" s="15" t="str">
        <x:v>CNTT</x:v>
      </x:c>
      <x:c r="E25" s="15" t="str">
        <x:v>KH024</x:v>
      </x:c>
      <x:c r="F25" s="17" t="n">
        <x:v>9.1</x:v>
      </x:c>
      <x:c r="G25" s="15" t="str">
        <x:v>Zalo OA</x:v>
      </x:c>
      <x:c r="H25" s="15" t="str">
        <x:v>Đã xác nhận</x:v>
      </x:c>
    </x:row>
    <x:row r="26" ht="27" customHeight="1" hidden="1">
      <x:c r="A26" s="15" t="str">
        <x:v>SV025</x:v>
      </x:c>
      <x:c r="B26" s="15" t="str">
        <x:v>Hoàng Thị Phúc</x:v>
      </x:c>
      <x:c r="C26" s="15" t="str">
        <x:f>TRIM(B26)</x:f>
        <x:v>Hoàng Thị Phúc</x:v>
      </x:c>
      <x:c r="D26" s="15" t="str">
        <x:v>CNTT</x:v>
      </x:c>
      <x:c r="E26" s="15" t="str">
        <x:v>KH025</x:v>
      </x:c>
      <x:c r="F26" s="17" t="n">
        <x:v>9.8</x:v>
      </x:c>
      <x:c r="G26" s="15" t="str">
        <x:v>Website</x:v>
      </x:c>
      <x:c r="H26" s="15" t="str">
        <x:v>Chờ xác nhận</x:v>
      </x:c>
    </x:row>
    <x:row r="27" ht="27" customHeight="1" hidden="1">
      <x:c r="A27" s="15" t="str">
        <x:v>SV026</x:v>
      </x:c>
      <x:c r="B27" s="15" t="str">
        <x:v>Vũ Thị Thảo</x:v>
      </x:c>
      <x:c r="C27" s="15" t="str">
        <x:f>TRIM(B27)</x:f>
        <x:v>Vũ Thị Thảo</x:v>
      </x:c>
      <x:c r="D27" s="15" t="str">
        <x:v>QTKD</x:v>
      </x:c>
      <x:c r="E27" s="15" t="str">
        <x:v>KH026</x:v>
      </x:c>
      <x:c r="F27" s="17" t="n">
        <x:v>0.4</x:v>
      </x:c>
      <x:c r="G27" s="15" t="str">
        <x:v>Google Form</x:v>
      </x:c>
      <x:c r="H27" s="15" t="str">
        <x:v>Đã xác nhận</x:v>
      </x:c>
    </x:row>
    <x:row r="28" ht="27" customHeight="1" hidden="1">
      <x:c r="A28" s="15" t="str">
        <x:v>SV027</x:v>
      </x:c>
      <x:c r="B28" s="15" t="str">
        <x:v>Võ Thị Hà</x:v>
      </x:c>
      <x:c r="C28" s="15" t="str">
        <x:f>TRIM(B28)</x:f>
        <x:v>Võ Thị Hà</x:v>
      </x:c>
      <x:c r="D28" s="15" t="str">
        <x:v>DTVT</x:v>
      </x:c>
      <x:c r="E28" s="15" t="str">
        <x:v>KH027</x:v>
      </x:c>
      <x:c r="F28" s="17" t="n">
        <x:v>1.1</x:v>
      </x:c>
      <x:c r="G28" s="15" t="str">
        <x:v>Facebook Ads</x:v>
      </x:c>
      <x:c r="H28" s="15" t="str">
        <x:v>Đã xác nhận</x:v>
      </x:c>
    </x:row>
    <x:row r="29" ht="27" customHeight="1">
      <x:c r="A29" s="15" t="str">
        <x:v>SV028</x:v>
      </x:c>
      <x:c r="B29" s="15" t="str">
        <x:v>Đặng Thị Anh  </x:v>
      </x:c>
      <x:c r="C29" s="15" t="str">
        <x:f>TRIM(B29)</x:f>
        <x:v>Đặng Thị Anh</x:v>
      </x:c>
      <x:c r="D29" s="15" t="str">
        <x:v>CNTT</x:v>
      </x:c>
      <x:c r="E29" s="15" t="str">
        <x:v>KH028</x:v>
      </x:c>
      <x:c r="F29" s="17" t="n">
        <x:v>1.8</x:v>
      </x:c>
      <x:c r="G29" s="15" t="str">
        <x:v>Zalo OA</x:v>
      </x:c>
      <x:c r="H29" s="15" t="str">
        <x:v>Đã xác nhận</x:v>
      </x:c>
    </x:row>
    <x:row r="30" ht="27" customHeight="1">
      <x:c r="A30" s="15" t="str">
        <x:v>SV029</x:v>
      </x:c>
      <x:c r="B30" s="15" t="str">
        <x:v>  Bùi Thị Tâm</x:v>
      </x:c>
      <x:c r="C30" s="15" t="str">
        <x:f>TRIM(B30)</x:f>
        <x:v>Bùi Thị Tâm</x:v>
      </x:c>
      <x:c r="D30" s="15" t="str">
        <x:v>CNTT</x:v>
      </x:c>
      <x:c r="E30" s="15" t="str">
        <x:v>KH029</x:v>
      </x:c>
      <x:c r="F30" s="17" t="n">
        <x:v>2.5</x:v>
      </x:c>
      <x:c r="G30" s="15" t="str">
        <x:v>Website</x:v>
      </x:c>
      <x:c r="H30" s="15" t="str">
        <x:v>Đã xác nhận</x:v>
      </x:c>
    </x:row>
    <x:row r="31" ht="27" customHeight="1" hidden="1">
      <x:c r="A31" s="15" t="str">
        <x:v>SV030</x:v>
      </x:c>
      <x:c r="B31" s="15" t="str">
        <x:v>Đỗ Thị Nam</x:v>
      </x:c>
      <x:c r="C31" s="15" t="str">
        <x:f>TRIM(B31)</x:f>
        <x:v>Đỗ Thị Nam</x:v>
      </x:c>
      <x:c r="D31" s="15" t="str">
        <x:v>QTKD</x:v>
      </x:c>
      <x:c r="E31" s="15" t="str">
        <x:v>KH030</x:v>
      </x:c>
      <x:c r="F31" s="17" t="n">
        <x:v>3.2</x:v>
      </x:c>
      <x:c r="G31" s="15" t="str">
        <x:v>Google Form</x:v>
      </x:c>
      <x:c r="H31" s="15" t="str">
        <x:v>Đã xác nhận</x:v>
      </x:c>
    </x:row>
    <x:row r="32" ht="27" customHeight="1" hidden="1">
      <x:c r="A32" s="15" t="str">
        <x:v>SV031</x:v>
      </x:c>
      <x:c r="B32" s="15" t="str">
        <x:v>Hồ Thị Trang</x:v>
      </x:c>
      <x:c r="C32" s="15" t="str">
        <x:f>TRIM(B32)</x:f>
        <x:v>Hồ Thị Trang</x:v>
      </x:c>
      <x:c r="D32" s="15" t="str">
        <x:v>DTVT</x:v>
      </x:c>
      <x:c r="E32" s="15" t="str">
        <x:v>KH031</x:v>
      </x:c>
      <x:c r="F32" s="17" t="n">
        <x:v>3.9</x:v>
      </x:c>
      <x:c r="G32" s="15" t="str">
        <x:v>Facebook Ads</x:v>
      </x:c>
      <x:c r="H32" s="15" t="str">
        <x:v>Chờ xác nhận</x:v>
      </x:c>
    </x:row>
    <x:row r="33" ht="27" customHeight="1">
      <x:c r="A33" s="15" t="str">
        <x:v>SV032</x:v>
      </x:c>
      <x:c r="B33" s="15" t="str">
        <x:v>Ngô Thị Kiệt</x:v>
      </x:c>
      <x:c r="C33" s="15" t="str">
        <x:f>TRIM(B33)</x:f>
        <x:v>Ngô Thị Kiệt</x:v>
      </x:c>
      <x:c r="D33" s="15" t="str">
        <x:v>CNTT</x:v>
      </x:c>
      <x:c r="E33" s="15" t="str">
        <x:v>KH032</x:v>
      </x:c>
      <x:c r="F33" s="17" t="n">
        <x:v>4.6</x:v>
      </x:c>
      <x:c r="G33" s="15" t="str">
        <x:v>Zalo OA</x:v>
      </x:c>
      <x:c r="H33" s="15" t="str">
        <x:v>Đã xác nhận</x:v>
      </x:c>
    </x:row>
    <x:row r="34" ht="27" customHeight="1">
      <x:c r="A34" s="15" t="str">
        <x:v>SV033</x:v>
      </x:c>
      <x:c r="B34" s="15" t="str">
        <x:v>Dương Thị Linh</x:v>
      </x:c>
      <x:c r="C34" s="15" t="str">
        <x:f>TRIM(B34)</x:f>
        <x:v>Dương Thị Linh</x:v>
      </x:c>
      <x:c r="D34" s="15" t="str">
        <x:v>CNTT</x:v>
      </x:c>
      <x:c r="E34" s="15" t="str">
        <x:v>KH033</x:v>
      </x:c>
      <x:c r="F34" s="17" t="n">
        <x:v>5.3</x:v>
      </x:c>
      <x:c r="G34" s="15" t="str">
        <x:v>Website</x:v>
      </x:c>
      <x:c r="H34" s="15" t="str">
        <x:v>Đã xác nhận</x:v>
      </x:c>
    </x:row>
    <x:row r="35" ht="27" customHeight="1" hidden="1">
      <x:c r="A35" s="15" t="str">
        <x:v>SV034</x:v>
      </x:c>
      <x:c r="B35" s="15" t="str">
        <x:v>Lý Thị   Nhân</x:v>
      </x:c>
      <x:c r="C35" s="15" t="str">
        <x:f>TRIM(B35)</x:f>
        <x:v>Lý Thị Nhân</x:v>
      </x:c>
      <x:c r="D35" s="15" t="str">
        <x:v>QTKD</x:v>
      </x:c>
      <x:c r="E35" s="15" t="str">
        <x:v>KH034</x:v>
      </x:c>
      <x:c r="F35" s="17" t="n">
        <x:v>6</x:v>
      </x:c>
      <x:c r="G35" s="15" t="str">
        <x:v>Google Form</x:v>
      </x:c>
      <x:c r="H35" s="15" t="str">
        <x:v>Đã xác nhận</x:v>
      </x:c>
    </x:row>
    <x:row r="36" ht="27" customHeight="1" hidden="1">
      <x:c r="A36" s="15" t="str">
        <x:v>SV035</x:v>
      </x:c>
      <x:c r="B36" s="15" t="str">
        <x:v>Đinh Thị Yến</x:v>
      </x:c>
      <x:c r="C36" s="15" t="str">
        <x:f>TRIM(B36)</x:f>
        <x:v>Đinh Thị Yến</x:v>
      </x:c>
      <x:c r="D36" s="15" t="str">
        <x:v>DTVT</x:v>
      </x:c>
      <x:c r="E36" s="15" t="str">
        <x:v>KH035</x:v>
      </x:c>
      <x:c r="F36" s="17" t="n">
        <x:v>6.7</x:v>
      </x:c>
      <x:c r="G36" s="15" t="str">
        <x:v>Facebook Ads</x:v>
      </x:c>
      <x:c r="H36" s="15" t="str">
        <x:v>Đã xác nhận</x:v>
      </x:c>
    </x:row>
    <x:row r="37" ht="27" customHeight="1" hidden="1">
      <x:c r="A37" s="15" t="str">
        <x:v>SV036</x:v>
      </x:c>
      <x:c r="B37" s="15" t="str">
        <x:v>  Phan Thị Huy</x:v>
      </x:c>
      <x:c r="C37" s="15" t="str">
        <x:f>TRIM(B37)</x:f>
        <x:v>Phan Thị Huy</x:v>
      </x:c>
      <x:c r="D37" s="15" t="str">
        <x:v>CNTT</x:v>
      </x:c>
      <x:c r="E37" s="15" t="str">
        <x:v>KH036</x:v>
      </x:c>
      <x:c r="F37" s="17" t="n">
        <x:v>7.4</x:v>
      </x:c>
      <x:c r="G37" s="15" t="str">
        <x:v>Zalo OA</x:v>
      </x:c>
      <x:c r="H37" s="15" t="str">
        <x:v>Đã xác nhận</x:v>
      </x:c>
    </x:row>
    <x:row r="38" ht="27" customHeight="1" hidden="1">
      <x:c r="A38" s="15" t="str">
        <x:v>SV037</x:v>
      </x:c>
      <x:c r="B38" s="15" t="str">
        <x:v>Mai Thị Long  </x:v>
      </x:c>
      <x:c r="C38" s="15" t="str">
        <x:f>TRIM(B38)</x:f>
        <x:v>Mai Thị Long</x:v>
      </x:c>
      <x:c r="D38" s="15" t="str">
        <x:v>CNTT</x:v>
      </x:c>
      <x:c r="E38" s="15" t="str">
        <x:v>KH037</x:v>
      </x:c>
      <x:c r="F38" s="17" t="n">
        <x:v>8.1</x:v>
      </x:c>
      <x:c r="G38" s="15" t="str">
        <x:v>Website</x:v>
      </x:c>
      <x:c r="H38" s="15" t="str">
        <x:v>Chờ xác nhận</x:v>
      </x:c>
    </x:row>
    <x:row r="39" ht="27" customHeight="1" hidden="1">
      <x:c r="A39" s="15" t="str">
        <x:v>SV038</x:v>
      </x:c>
      <x:c r="B39" s="15" t="str">
        <x:v>Đào Thị An</x:v>
      </x:c>
      <x:c r="C39" s="15" t="str">
        <x:f>TRIM(B39)</x:f>
        <x:v>Đào Thị An</x:v>
      </x:c>
      <x:c r="D39" s="15" t="str">
        <x:v>QTKD</x:v>
      </x:c>
      <x:c r="E39" s="15" t="str">
        <x:v>KH038</x:v>
      </x:c>
      <x:c r="F39" s="17" t="n">
        <x:v>8.8</x:v>
      </x:c>
      <x:c r="G39" s="15" t="str">
        <x:v>Google Form</x:v>
      </x:c>
      <x:c r="H39" s="15" t="str">
        <x:v>Đã xác nhận</x:v>
      </x:c>
    </x:row>
    <x:row r="40" ht="27" customHeight="1" hidden="1">
      <x:c r="A40" s="15" t="str">
        <x:v>SV039</x:v>
      </x:c>
      <x:c r="B40" s="15" t="str">
        <x:v>Cao Thị Vy</x:v>
      </x:c>
      <x:c r="C40" s="15" t="str">
        <x:f>TRIM(B40)</x:f>
        <x:v>Cao Thị Vy</x:v>
      </x:c>
      <x:c r="D40" s="15" t="str">
        <x:v>DTVT</x:v>
      </x:c>
      <x:c r="E40" s="15" t="str">
        <x:v>KH039</x:v>
      </x:c>
      <x:c r="F40" s="17" t="n">
        <x:v>9.5</x:v>
      </x:c>
      <x:c r="G40" s="15" t="str">
        <x:v>Facebook Ads</x:v>
      </x:c>
      <x:c r="H40" s="15" t="str">
        <x:v>Đã xác nhận</x:v>
      </x:c>
    </x:row>
    <x:row r="41" ht="27" customHeight="1">
      <x:c r="A41" s="15" t="str">
        <x:v>SV040</x:v>
      </x:c>
      <x:c r="B41" s="15" t="str">
        <x:v>Tạ Thị Mai</x:v>
      </x:c>
      <x:c r="C41" s="15" t="str">
        <x:f>TRIM(B41)</x:f>
        <x:v>Tạ Thị Mai</x:v>
      </x:c>
      <x:c r="D41" s="15" t="str">
        <x:v>CNTT</x:v>
      </x:c>
      <x:c r="E41" s="15" t="str">
        <x:v>KH040</x:v>
      </x:c>
      <x:c r="F41" s="17" t="n">
        <x:v>0.1</x:v>
      </x:c>
      <x:c r="G41" s="15" t="str">
        <x:v>Zalo OA</x:v>
      </x:c>
      <x:c r="H41" s="15" t="str">
        <x:v>Đã xác nhận</x:v>
      </x:c>
    </x:row>
    <x:row r="42" ht="27" customHeight="1">
      <x:c r="A42" s="15" t="str">
        <x:v>SV041</x:v>
      </x:c>
      <x:c r="B42" s="15" t="str">
        <x:v>Nguyễn Minh Đức</x:v>
      </x:c>
      <x:c r="C42" s="15" t="str">
        <x:f>TRIM(B42)</x:f>
        <x:v>Nguyễn Minh Đức</x:v>
      </x:c>
      <x:c r="D42" s="15" t="str">
        <x:v>CNTT</x:v>
      </x:c>
      <x:c r="E42" s="15" t="str">
        <x:v>KH041</x:v>
      </x:c>
      <x:c r="F42" s="17" t="n">
        <x:v>0.8</x:v>
      </x:c>
      <x:c r="G42" s="15" t="str">
        <x:v>Website</x:v>
      </x:c>
      <x:c r="H42" s="15" t="str">
        <x:v>Đã xác nhận</x:v>
      </x:c>
    </x:row>
    <x:row r="43" ht="27" customHeight="1" hidden="1">
      <x:c r="A43" s="15" t="str">
        <x:v>SV042</x:v>
      </x:c>
      <x:c r="B43" s="15" t="str">
        <x:v>Trần Minh Phúc</x:v>
      </x:c>
      <x:c r="C43" s="15" t="str">
        <x:f>TRIM(B43)</x:f>
        <x:v>Trần Minh Phúc</x:v>
      </x:c>
      <x:c r="D43" s="15" t="str">
        <x:v>QTKD</x:v>
      </x:c>
      <x:c r="E43" s="15" t="str">
        <x:v>KH042</x:v>
      </x:c>
      <x:c r="F43" s="17" t="n">
        <x:v>1.5</x:v>
      </x:c>
      <x:c r="G43" s="15" t="str">
        <x:v>Google Form</x:v>
      </x:c>
      <x:c r="H43" s="15" t="str">
        <x:v>Đã xác nhận</x:v>
      </x:c>
    </x:row>
    <x:row r="44" ht="27" customHeight="1" hidden="1">
      <x:c r="A44" s="15" t="str">
        <x:v>SV043</x:v>
      </x:c>
      <x:c r="B44" s="15" t="str">
        <x:v>  Lê Minh Thảo</x:v>
      </x:c>
      <x:c r="C44" s="15" t="str">
        <x:f>TRIM(B44)</x:f>
        <x:v>Lê Minh Thảo</x:v>
      </x:c>
      <x:c r="D44" s="15" t="str">
        <x:v>DTVT</x:v>
      </x:c>
      <x:c r="E44" s="15" t="str">
        <x:v>KH043</x:v>
      </x:c>
      <x:c r="F44" s="17" t="n">
        <x:v>2.2</x:v>
      </x:c>
      <x:c r="G44" s="15" t="str">
        <x:v>Facebook Ads</x:v>
      </x:c>
      <x:c r="H44" s="15" t="str">
        <x:v>Chờ xác nhận</x:v>
      </x:c>
    </x:row>
    <x:row r="45" ht="27" customHeight="1">
      <x:c r="A45" s="15" t="str">
        <x:v>SV044</x:v>
      </x:c>
      <x:c r="B45" s="15" t="str">
        <x:v>Phạm Minh Hà</x:v>
      </x:c>
      <x:c r="C45" s="15" t="str">
        <x:f>TRIM(B45)</x:f>
        <x:v>Phạm Minh Hà</x:v>
      </x:c>
      <x:c r="D45" s="15" t="str">
        <x:v>CNTT</x:v>
      </x:c>
      <x:c r="E45" s="15" t="str">
        <x:v>KH044</x:v>
      </x:c>
      <x:c r="F45" s="17" t="n">
        <x:v>2.9</x:v>
      </x:c>
      <x:c r="G45" s="15" t="str">
        <x:v>Zalo OA</x:v>
      </x:c>
      <x:c r="H45" s="15" t="str">
        <x:v>Đã xác nhận</x:v>
      </x:c>
    </x:row>
    <x:row r="46" ht="27" customHeight="1">
      <x:c r="A46" s="15" t="str">
        <x:v>SV045</x:v>
      </x:c>
      <x:c r="B46" s="15" t="str">
        <x:v>Hoàng Minh   Anh</x:v>
      </x:c>
      <x:c r="C46" s="15" t="str">
        <x:f>TRIM(B46)</x:f>
        <x:v>Hoàng Minh Anh</x:v>
      </x:c>
      <x:c r="D46" s="15" t="str">
        <x:v>CNTT</x:v>
      </x:c>
      <x:c r="E46" s="15" t="str">
        <x:v>KH045</x:v>
      </x:c>
      <x:c r="F46" s="17" t="n">
        <x:v>3.6</x:v>
      </x:c>
      <x:c r="G46" s="15" t="str">
        <x:v>Website</x:v>
      </x:c>
      <x:c r="H46" s="15" t="str">
        <x:v>Đã xác nhận</x:v>
      </x:c>
    </x:row>
    <x:row r="47" ht="27" customHeight="1" hidden="1">
      <x:c r="A47" s="15" t="str">
        <x:v>SV046</x:v>
      </x:c>
      <x:c r="B47" s="15" t="str">
        <x:v>Vũ Minh Tâm  </x:v>
      </x:c>
      <x:c r="C47" s="15" t="str">
        <x:f>TRIM(B47)</x:f>
        <x:v>Vũ Minh Tâm</x:v>
      </x:c>
      <x:c r="D47" s="15" t="str">
        <x:v>QTKD</x:v>
      </x:c>
      <x:c r="E47" s="15" t="str">
        <x:v>KH046</x:v>
      </x:c>
      <x:c r="F47" s="17" t="n">
        <x:v>4.3</x:v>
      </x:c>
      <x:c r="G47" s="15" t="str">
        <x:v>Google Form</x:v>
      </x:c>
      <x:c r="H47" s="15" t="str">
        <x:v>Đã xác nhận</x:v>
      </x:c>
    </x:row>
    <x:row r="48" ht="27" customHeight="1" hidden="1">
      <x:c r="A48" s="15" t="str">
        <x:v>SV047</x:v>
      </x:c>
      <x:c r="B48" s="15" t="str">
        <x:v>Võ Minh Nam</x:v>
      </x:c>
      <x:c r="C48" s="15" t="str">
        <x:f>TRIM(B48)</x:f>
        <x:v>Võ Minh Nam</x:v>
      </x:c>
      <x:c r="D48" s="15" t="str">
        <x:v>DTVT</x:v>
      </x:c>
      <x:c r="E48" s="15" t="str">
        <x:v>KH047</x:v>
      </x:c>
      <x:c r="F48" s="17" t="n">
        <x:v>5</x:v>
      </x:c>
      <x:c r="G48" s="15" t="str">
        <x:v>Facebook Ads</x:v>
      </x:c>
      <x:c r="H48" s="15" t="str">
        <x:v>Đã xác nhận</x:v>
      </x:c>
    </x:row>
    <x:row r="49" ht="27" customHeight="1">
      <x:c r="A49" s="15" t="str">
        <x:v>SV048</x:v>
      </x:c>
      <x:c r="B49" s="15" t="str">
        <x:v>Đặng Minh Trang</x:v>
      </x:c>
      <x:c r="C49" s="15" t="str">
        <x:f>TRIM(B49)</x:f>
        <x:v>Đặng Minh Trang</x:v>
      </x:c>
      <x:c r="D49" s="15" t="str">
        <x:v>CNTT</x:v>
      </x:c>
      <x:c r="E49" s="15" t="str">
        <x:v>KH048</x:v>
      </x:c>
      <x:c r="F49" s="17" t="n">
        <x:v>5.7</x:v>
      </x:c>
      <x:c r="G49" s="15" t="str">
        <x:v>Zalo OA</x:v>
      </x:c>
      <x:c r="H49" s="15" t="str">
        <x:v>Đã xác nhận</x:v>
      </x:c>
    </x:row>
    <x:row r="50" ht="27" customHeight="1">
      <x:c r="A50" s="15" t="str">
        <x:v>SV049</x:v>
      </x:c>
      <x:c r="B50" s="15" t="str">
        <x:v>Bùi Minh Kiệt</x:v>
      </x:c>
      <x:c r="C50" s="15" t="str">
        <x:f>TRIM(B50)</x:f>
        <x:v>Bùi Minh Kiệt</x:v>
      </x:c>
      <x:c r="D50" s="15" t="str">
        <x:v>CNTT</x:v>
      </x:c>
      <x:c r="E50" s="15" t="str">
        <x:v>KH049</x:v>
      </x:c>
      <x:c r="F50" s="17" t="n">
        <x:v>6.4</x:v>
      </x:c>
      <x:c r="G50" s="15" t="str">
        <x:v>Website</x:v>
      </x:c>
      <x:c r="H50" s="15" t="str">
        <x:v>Chờ xác nhận</x:v>
      </x:c>
    </x:row>
    <x:row r="51" ht="27" customHeight="1" hidden="1">
      <x:c r="A51" s="15" t="str">
        <x:v>SV050</x:v>
      </x:c>
      <x:c r="B51" s="15" t="str">
        <x:v>  Đỗ Minh Linh</x:v>
      </x:c>
      <x:c r="C51" s="15" t="str">
        <x:f>TRIM(B51)</x:f>
        <x:v>Đỗ Minh Linh</x:v>
      </x:c>
      <x:c r="D51" s="15" t="str">
        <x:v>QTKD</x:v>
      </x:c>
      <x:c r="E51" s="15" t="str">
        <x:v>KH050</x:v>
      </x:c>
      <x:c r="F51" s="17" t="n">
        <x:v>7.1</x:v>
      </x:c>
      <x:c r="G51" s="15" t="str">
        <x:v>Google Form</x:v>
      </x:c>
      <x:c r="H51" s="15" t="str">
        <x:v>Đã xác nhận</x:v>
      </x:c>
    </x:row>
    <x:row r="52" ht="27" customHeight="1" hidden="1">
      <x:c r="A52" s="15" t="str">
        <x:v>SV051</x:v>
      </x:c>
      <x:c r="B52" s="15" t="str">
        <x:v>Hồ Minh Nhân</x:v>
      </x:c>
      <x:c r="C52" s="15" t="str">
        <x:f>TRIM(B52)</x:f>
        <x:v>Hồ Minh Nhân</x:v>
      </x:c>
      <x:c r="D52" s="15" t="str">
        <x:v>DTVT</x:v>
      </x:c>
      <x:c r="E52" s="15" t="str">
        <x:v>KH051</x:v>
      </x:c>
      <x:c r="F52" s="17" t="n">
        <x:v>7.8</x:v>
      </x:c>
      <x:c r="G52" s="15" t="str">
        <x:v>Facebook Ads</x:v>
      </x:c>
      <x:c r="H52" s="15" t="str">
        <x:v>Đã xác nhận</x:v>
      </x:c>
    </x:row>
    <x:row r="53" ht="27" customHeight="1" hidden="1">
      <x:c r="A53" s="15" t="str">
        <x:v>SV052</x:v>
      </x:c>
      <x:c r="B53" s="15" t="str">
        <x:v>Ngô Minh Yến</x:v>
      </x:c>
      <x:c r="C53" s="15" t="str">
        <x:f>TRIM(B53)</x:f>
        <x:v>Ngô Minh Yến</x:v>
      </x:c>
      <x:c r="D53" s="15" t="str">
        <x:v>CNTT</x:v>
      </x:c>
      <x:c r="E53" s="15" t="str">
        <x:v>KH052</x:v>
      </x:c>
      <x:c r="F53" s="17" t="n">
        <x:v>8.5</x:v>
      </x:c>
      <x:c r="G53" s="15" t="str">
        <x:v>Zalo OA</x:v>
      </x:c>
      <x:c r="H53" s="15" t="str">
        <x:v>Đã xác nhận</x:v>
      </x:c>
    </x:row>
    <x:row r="54" ht="27" customHeight="1" hidden="1">
      <x:c r="A54" s="15" t="str">
        <x:v>SV053</x:v>
      </x:c>
      <x:c r="B54" s="15" t="str">
        <x:v>Dương Minh Huy</x:v>
      </x:c>
      <x:c r="C54" s="15" t="str">
        <x:f>TRIM(B54)</x:f>
        <x:v>Dương Minh Huy</x:v>
      </x:c>
      <x:c r="D54" s="15" t="str">
        <x:v>CNTT</x:v>
      </x:c>
      <x:c r="E54" s="15" t="str">
        <x:v>KH053</x:v>
      </x:c>
      <x:c r="F54" s="17" t="n">
        <x:v>9.2</x:v>
      </x:c>
      <x:c r="G54" s="15" t="str">
        <x:v>Website</x:v>
      </x:c>
      <x:c r="H54" s="15" t="str">
        <x:v>Đã xác nhận</x:v>
      </x:c>
    </x:row>
    <x:row r="55" ht="27" customHeight="1" hidden="1">
      <x:c r="A55" s="15" t="str">
        <x:v>SV054</x:v>
      </x:c>
      <x:c r="B55" s="15" t="str">
        <x:v>Lý Minh Long</x:v>
      </x:c>
      <x:c r="C55" s="15" t="str">
        <x:f>TRIM(B55)</x:f>
        <x:v>Lý Minh Long</x:v>
      </x:c>
      <x:c r="D55" s="15" t="str">
        <x:v>QTKD</x:v>
      </x:c>
      <x:c r="E55" s="15" t="str">
        <x:v>KH054</x:v>
      </x:c>
      <x:c r="F55" s="17" t="n">
        <x:v>9.9</x:v>
      </x:c>
      <x:c r="G55" s="15" t="str">
        <x:v>Google Form</x:v>
      </x:c>
      <x:c r="H55" s="15" t="str">
        <x:v>Đã xác nhận</x:v>
      </x:c>
    </x:row>
    <x:row r="56" ht="27" customHeight="1" hidden="1">
      <x:c r="A56" s="15" t="str">
        <x:v>SV055</x:v>
      </x:c>
      <x:c r="B56" s="15" t="str">
        <x:v>Đinh Minh An  </x:v>
      </x:c>
      <x:c r="C56" s="15" t="str">
        <x:f>TRIM(B56)</x:f>
        <x:v>Đinh Minh An</x:v>
      </x:c>
      <x:c r="D56" s="15" t="str">
        <x:v>DTVT</x:v>
      </x:c>
      <x:c r="E56" s="15" t="str">
        <x:v>KH055</x:v>
      </x:c>
      <x:c r="F56" s="17" t="n">
        <x:v>0.5</x:v>
      </x:c>
      <x:c r="G56" s="15" t="str">
        <x:v>Facebook Ads</x:v>
      </x:c>
      <x:c r="H56" s="15" t="str">
        <x:v>Chờ xác nhận</x:v>
      </x:c>
    </x:row>
    <x:row r="57" ht="27" customHeight="1">
      <x:c r="A57" s="15" t="str">
        <x:v>SV056</x:v>
      </x:c>
      <x:c r="B57" s="15" t="str">
        <x:v>Phan Minh   Vy</x:v>
      </x:c>
      <x:c r="C57" s="15" t="str">
        <x:f>TRIM(B57)</x:f>
        <x:v>Phan Minh Vy</x:v>
      </x:c>
      <x:c r="D57" s="15" t="str">
        <x:v>CNTT</x:v>
      </x:c>
      <x:c r="E57" s="15" t="str">
        <x:v>KH056</x:v>
      </x:c>
      <x:c r="F57" s="17" t="n">
        <x:v>1.2</x:v>
      </x:c>
      <x:c r="G57" s="15" t="str">
        <x:v>Zalo OA</x:v>
      </x:c>
      <x:c r="H57" s="15" t="str">
        <x:v>Đã xác nhận</x:v>
      </x:c>
    </x:row>
    <x:row r="58" ht="27" customHeight="1">
      <x:c r="A58" s="15" t="str">
        <x:v>SV057</x:v>
      </x:c>
      <x:c r="B58" s="15" t="str">
        <x:v>  Mai Minh Mai</x:v>
      </x:c>
      <x:c r="C58" s="15" t="str">
        <x:f>TRIM(B58)</x:f>
        <x:v>Mai Minh Mai</x:v>
      </x:c>
      <x:c r="D58" s="15" t="str">
        <x:v>CNTT</x:v>
      </x:c>
      <x:c r="E58" s="15" t="str">
        <x:v>KH057</x:v>
      </x:c>
      <x:c r="F58" s="17" t="n">
        <x:v>1.9</x:v>
      </x:c>
      <x:c r="G58" s="15" t="str">
        <x:v>Website</x:v>
      </x:c>
      <x:c r="H58" s="15" t="str">
        <x:v>Đã xác nhận</x:v>
      </x:c>
    </x:row>
    <x:row r="59" ht="27" customHeight="1" hidden="1">
      <x:c r="A59" s="15" t="str">
        <x:v>SV058</x:v>
      </x:c>
      <x:c r="B59" s="15" t="str">
        <x:v>Đào Minh Bình</x:v>
      </x:c>
      <x:c r="C59" s="15" t="str">
        <x:f>TRIM(B59)</x:f>
        <x:v>Đào Minh Bình</x:v>
      </x:c>
      <x:c r="D59" s="15" t="str">
        <x:v>QTKD</x:v>
      </x:c>
      <x:c r="E59" s="15" t="str">
        <x:v>KH058</x:v>
      </x:c>
      <x:c r="F59" s="17" t="n">
        <x:v>2.6</x:v>
      </x:c>
      <x:c r="G59" s="15" t="str">
        <x:v>Google Form</x:v>
      </x:c>
      <x:c r="H59" s="15" t="str">
        <x:v>Đã xác nhận</x:v>
      </x:c>
    </x:row>
    <x:row r="60" ht="27" customHeight="1" hidden="1">
      <x:c r="A60" s="15" t="str">
        <x:v>SV059</x:v>
      </x:c>
      <x:c r="B60" s="15" t="str">
        <x:v>Cao Minh Khang</x:v>
      </x:c>
      <x:c r="C60" s="15" t="str">
        <x:f>TRIM(B60)</x:f>
        <x:v>Cao Minh Khang</x:v>
      </x:c>
      <x:c r="D60" s="15" t="str">
        <x:v>DTVT</x:v>
      </x:c>
      <x:c r="E60" s="15" t="str">
        <x:v>KH059</x:v>
      </x:c>
      <x:c r="F60" s="17" t="n">
        <x:v>3.3</x:v>
      </x:c>
      <x:c r="G60" s="15" t="str">
        <x:v>Facebook Ads</x:v>
      </x:c>
      <x:c r="H60" s="15" t="str">
        <x:v>Đã xác nhận</x:v>
      </x:c>
    </x:row>
    <x:row r="61" ht="27" customHeight="1">
      <x:c r="A61" s="15" t="str">
        <x:v>SV060</x:v>
      </x:c>
      <x:c r="B61" s="15" t="str">
        <x:v>Tạ Minh Quân</x:v>
      </x:c>
      <x:c r="C61" s="15" t="str">
        <x:f>TRIM(B61)</x:f>
        <x:v>Tạ Minh Quân</x:v>
      </x:c>
      <x:c r="D61" s="15" t="str">
        <x:v>CNTT</x:v>
      </x:c>
      <x:c r="E61" s="15" t="str">
        <x:v>KH060</x:v>
      </x:c>
      <x:c r="F61" s="17" t="n">
        <x:v>4</x:v>
      </x:c>
      <x:c r="G61" s="15" t="str">
        <x:v>Zalo OA</x:v>
      </x:c>
      <x:c r="H61" s="15" t="str">
        <x:v>Đã xác nhận</x:v>
      </x:c>
    </x:row>
    <x:row r="62" ht="27" customHeight="1">
      <x:c r="A62" s="15" t="str">
        <x:v>SV061</x:v>
      </x:c>
      <x:c r="B62" s="15" t="str">
        <x:v>Nguyễn Quốc Hà</x:v>
      </x:c>
      <x:c r="C62" s="15" t="str">
        <x:f>TRIM(B62)</x:f>
        <x:v>Nguyễn Quốc Hà</x:v>
      </x:c>
      <x:c r="D62" s="15" t="str">
        <x:v>CNTT</x:v>
      </x:c>
      <x:c r="E62" s="15" t="str">
        <x:v>KH061</x:v>
      </x:c>
      <x:c r="F62" s="17" t="n">
        <x:v>4.7</x:v>
      </x:c>
      <x:c r="G62" s="15" t="str">
        <x:v>Website</x:v>
      </x:c>
      <x:c r="H62" s="15" t="str">
        <x:v>Chờ xác nhận</x:v>
      </x:c>
    </x:row>
    <x:row r="63" ht="27" customHeight="1" hidden="1">
      <x:c r="A63" s="15" t="str">
        <x:v>SV062</x:v>
      </x:c>
      <x:c r="B63" s="15" t="str">
        <x:v>Trần Quốc Anh</x:v>
      </x:c>
      <x:c r="C63" s="15" t="str">
        <x:f>TRIM(B63)</x:f>
        <x:v>Trần Quốc Anh</x:v>
      </x:c>
      <x:c r="D63" s="15" t="str">
        <x:v>QTKD</x:v>
      </x:c>
      <x:c r="E63" s="15" t="str">
        <x:v>KH062</x:v>
      </x:c>
      <x:c r="F63" s="17" t="n">
        <x:v>5.4</x:v>
      </x:c>
      <x:c r="G63" s="15" t="str">
        <x:v>Google Form</x:v>
      </x:c>
      <x:c r="H63" s="15" t="str">
        <x:v>Đã xác nhận</x:v>
      </x:c>
    </x:row>
    <x:row r="64" ht="27" customHeight="1" hidden="1">
      <x:c r="A64" s="15" t="str">
        <x:v>SV063</x:v>
      </x:c>
      <x:c r="B64" s="15" t="str">
        <x:v>Lê Quốc Tâm</x:v>
      </x:c>
      <x:c r="C64" s="15" t="str">
        <x:f>TRIM(B64)</x:f>
        <x:v>Lê Quốc Tâm</x:v>
      </x:c>
      <x:c r="D64" s="15" t="str">
        <x:v>DTVT</x:v>
      </x:c>
      <x:c r="E64" s="15" t="str">
        <x:v>KH063</x:v>
      </x:c>
      <x:c r="F64" s="17" t="n">
        <x:v>6.1</x:v>
      </x:c>
      <x:c r="G64" s="15" t="str">
        <x:v>Facebook Ads</x:v>
      </x:c>
      <x:c r="H64" s="15" t="str">
        <x:v>Đã xác nhận</x:v>
      </x:c>
    </x:row>
    <x:row r="65" ht="27" customHeight="1">
      <x:c r="A65" s="15" t="str">
        <x:v>SV064</x:v>
      </x:c>
      <x:c r="B65" s="15" t="str">
        <x:v>  Phạm Quốc Nam  </x:v>
      </x:c>
      <x:c r="C65" s="15" t="str">
        <x:f>TRIM(B65)</x:f>
        <x:v>Phạm Quốc Nam</x:v>
      </x:c>
      <x:c r="D65" s="15" t="str">
        <x:v>CNTT</x:v>
      </x:c>
      <x:c r="E65" s="15" t="str">
        <x:v>KH064</x:v>
      </x:c>
      <x:c r="F65" s="17" t="n">
        <x:v>6.8</x:v>
      </x:c>
      <x:c r="G65" s="15" t="str">
        <x:v>Zalo OA</x:v>
      </x:c>
      <x:c r="H65" s="15" t="str">
        <x:v>Đã xác nhận</x:v>
      </x:c>
    </x:row>
    <x:row r="66" ht="27" customHeight="1" hidden="1">
      <x:c r="A66" s="15" t="str">
        <x:v>SV065</x:v>
      </x:c>
      <x:c r="B66" s="15" t="str">
        <x:v>Hoàng Quốc Trang</x:v>
      </x:c>
      <x:c r="C66" s="15" t="str">
        <x:f>TRIM(B66)</x:f>
        <x:v>Hoàng Quốc Trang</x:v>
      </x:c>
      <x:c r="D66" s="15" t="str">
        <x:v>CNTT</x:v>
      </x:c>
      <x:c r="E66" s="15" t="str">
        <x:v>KH065</x:v>
      </x:c>
      <x:c r="F66" s="17" t="n">
        <x:v>7.5</x:v>
      </x:c>
      <x:c r="G66" s="15" t="str">
        <x:v>Website</x:v>
      </x:c>
      <x:c r="H66" s="15" t="str">
        <x:v>Đã xác nhận</x:v>
      </x:c>
    </x:row>
    <x:row r="67" ht="27" customHeight="1" hidden="1">
      <x:c r="A67" s="15" t="str">
        <x:v>SV066</x:v>
      </x:c>
      <x:c r="B67" s="15" t="str">
        <x:v>Vũ Quốc Kiệt</x:v>
      </x:c>
      <x:c r="C67" s="15" t="str">
        <x:f>TRIM(B67)</x:f>
        <x:v>Vũ Quốc Kiệt</x:v>
      </x:c>
      <x:c r="D67" s="15" t="str">
        <x:v>QTKD</x:v>
      </x:c>
      <x:c r="E67" s="15" t="str">
        <x:v>KH066</x:v>
      </x:c>
      <x:c r="F67" s="17" t="n">
        <x:v>8.2</x:v>
      </x:c>
      <x:c r="G67" s="15" t="str">
        <x:v>Google Form</x:v>
      </x:c>
      <x:c r="H67" s="15" t="str">
        <x:v>Đã xác nhận</x:v>
      </x:c>
    </x:row>
    <x:row r="68" ht="27" customHeight="1" hidden="1">
      <x:c r="A68" s="15" t="str">
        <x:v>SV067</x:v>
      </x:c>
      <x:c r="B68" s="15" t="str">
        <x:v>Võ Quốc   Linh</x:v>
      </x:c>
      <x:c r="C68" s="15" t="str">
        <x:f>TRIM(B68)</x:f>
        <x:v>Võ Quốc Linh</x:v>
      </x:c>
      <x:c r="D68" s="15" t="str">
        <x:v>DTVT</x:v>
      </x:c>
      <x:c r="E68" s="15" t="str">
        <x:v>KH067</x:v>
      </x:c>
      <x:c r="F68" s="17" t="n">
        <x:v>8.9</x:v>
      </x:c>
      <x:c r="G68" s="15" t="str">
        <x:v>Facebook Ads</x:v>
      </x:c>
      <x:c r="H68" s="15" t="str">
        <x:v>Chờ xác nhận</x:v>
      </x:c>
    </x:row>
    <x:row r="69" ht="27" customHeight="1" hidden="1">
      <x:c r="A69" s="15" t="str">
        <x:v>SV068</x:v>
      </x:c>
      <x:c r="B69" s="15" t="str">
        <x:v>Đặng Quốc Nhân</x:v>
      </x:c>
      <x:c r="C69" s="15" t="str">
        <x:f>TRIM(B69)</x:f>
        <x:v>Đặng Quốc Nhân</x:v>
      </x:c>
      <x:c r="D69" s="15" t="str">
        <x:v>CNTT</x:v>
      </x:c>
      <x:c r="E69" s="15" t="str">
        <x:v>KH068</x:v>
      </x:c>
      <x:c r="F69" s="17" t="n">
        <x:v>9.6</x:v>
      </x:c>
      <x:c r="G69" s="15" t="str">
        <x:v>Zalo OA</x:v>
      </x:c>
      <x:c r="H69" s="15" t="str">
        <x:v>Đã xác nhận</x:v>
      </x:c>
    </x:row>
    <x:row r="70" ht="27" customHeight="1">
      <x:c r="A70" s="15" t="str">
        <x:v>SV069</x:v>
      </x:c>
      <x:c r="B70" s="15" t="str">
        <x:v>Bùi Quốc Yến</x:v>
      </x:c>
      <x:c r="C70" s="15" t="str">
        <x:f>TRIM(B70)</x:f>
        <x:v>Bùi Quốc Yến</x:v>
      </x:c>
      <x:c r="D70" s="15" t="str">
        <x:v>CNTT</x:v>
      </x:c>
      <x:c r="E70" s="15" t="str">
        <x:v>KH069</x:v>
      </x:c>
      <x:c r="F70" s="17" t="n">
        <x:v>0.2</x:v>
      </x:c>
      <x:c r="G70" s="15" t="str">
        <x:v>Website</x:v>
      </x:c>
      <x:c r="H70" s="15" t="str">
        <x:v>Đã xác nhận</x:v>
      </x:c>
    </x:row>
    <x:row r="71" ht="27" customHeight="1" hidden="1">
      <x:c r="A71" s="15" t="str">
        <x:v>SV070</x:v>
      </x:c>
      <x:c r="B71" s="15" t="str">
        <x:v>Đỗ Quốc Huy</x:v>
      </x:c>
      <x:c r="C71" s="15" t="str">
        <x:f>TRIM(B71)</x:f>
        <x:v>Đỗ Quốc Huy</x:v>
      </x:c>
      <x:c r="D71" s="15" t="str">
        <x:v>QTKD</x:v>
      </x:c>
      <x:c r="E71" s="15" t="str">
        <x:v>KH070</x:v>
      </x:c>
      <x:c r="F71" s="17" t="n">
        <x:v>0.9</x:v>
      </x:c>
      <x:c r="G71" s="15" t="str">
        <x:v>Google Form</x:v>
      </x:c>
      <x:c r="H71" s="15" t="str">
        <x:v>Đã xác nhận</x:v>
      </x:c>
    </x:row>
    <x:row r="72" ht="27" customHeight="1" hidden="1">
      <x:c r="A72" s="15" t="str">
        <x:v>SV071</x:v>
      </x:c>
      <x:c r="B72" s="15" t="str">
        <x:v>  Hồ Quốc Long</x:v>
      </x:c>
      <x:c r="C72" s="15" t="str">
        <x:f>TRIM(B72)</x:f>
        <x:v>Hồ Quốc Long</x:v>
      </x:c>
      <x:c r="D72" s="15" t="str">
        <x:v>DTVT</x:v>
      </x:c>
      <x:c r="E72" s="15" t="str">
        <x:v>KH071</x:v>
      </x:c>
      <x:c r="F72" s="17" t="n">
        <x:v>1.6</x:v>
      </x:c>
      <x:c r="G72" s="15" t="str">
        <x:v>Facebook Ads</x:v>
      </x:c>
      <x:c r="H72" s="15" t="str">
        <x:v>Đã xác nhận</x:v>
      </x:c>
    </x:row>
    <x:row r="73" ht="27" customHeight="1">
      <x:c r="A73" s="15" t="str">
        <x:v>SV072</x:v>
      </x:c>
      <x:c r="B73" s="15" t="str">
        <x:v>Ngô Quốc An</x:v>
      </x:c>
      <x:c r="C73" s="15" t="str">
        <x:f>TRIM(B73)</x:f>
        <x:v>Ngô Quốc An</x:v>
      </x:c>
      <x:c r="D73" s="15" t="str">
        <x:v>CNTT</x:v>
      </x:c>
      <x:c r="E73" s="15" t="str">
        <x:v>KH072</x:v>
      </x:c>
      <x:c r="F73" s="17" t="n">
        <x:v>2.3</x:v>
      </x:c>
      <x:c r="G73" s="15" t="str">
        <x:v>Zalo OA</x:v>
      </x:c>
      <x:c r="H73" s="15" t="str">
        <x:v>Đã xác nhận</x:v>
      </x:c>
    </x:row>
    <x:row r="74" ht="27" customHeight="1">
      <x:c r="A74" s="15" t="str">
        <x:v>SV073</x:v>
      </x:c>
      <x:c r="B74" s="15" t="str">
        <x:v>Dương Quốc Vy  </x:v>
      </x:c>
      <x:c r="C74" s="15" t="str">
        <x:f>TRIM(B74)</x:f>
        <x:v>Dương Quốc Vy</x:v>
      </x:c>
      <x:c r="D74" s="15" t="str">
        <x:v>CNTT</x:v>
      </x:c>
      <x:c r="E74" s="15" t="str">
        <x:v>KH073</x:v>
      </x:c>
      <x:c r="F74" s="17" t="n">
        <x:v>3</x:v>
      </x:c>
      <x:c r="G74" s="15" t="str">
        <x:v>Website</x:v>
      </x:c>
      <x:c r="H74" s="15" t="str">
        <x:v>Chờ xác nhận</x:v>
      </x:c>
    </x:row>
    <x:row r="75" ht="27" customHeight="1" hidden="1">
      <x:c r="A75" s="15" t="str">
        <x:v>SV074</x:v>
      </x:c>
      <x:c r="B75" s="15" t="str">
        <x:v>Lý Quốc Mai</x:v>
      </x:c>
      <x:c r="C75" s="15" t="str">
        <x:f>TRIM(B75)</x:f>
        <x:v>Lý Quốc Mai</x:v>
      </x:c>
      <x:c r="D75" s="15" t="str">
        <x:v>QTKD</x:v>
      </x:c>
      <x:c r="E75" s="15" t="str">
        <x:v>KH074</x:v>
      </x:c>
      <x:c r="F75" s="17" t="n">
        <x:v>3.7</x:v>
      </x:c>
      <x:c r="G75" s="15" t="str">
        <x:v>Google Form</x:v>
      </x:c>
      <x:c r="H75" s="15" t="str">
        <x:v>Đã xác nhận</x:v>
      </x:c>
    </x:row>
    <x:row r="76" ht="27" customHeight="1" hidden="1">
      <x:c r="A76" s="15" t="str">
        <x:v>SV075</x:v>
      </x:c>
      <x:c r="B76" s="15" t="str">
        <x:v>Đinh Quốc Bình</x:v>
      </x:c>
      <x:c r="C76" s="15" t="str">
        <x:f>TRIM(B76)</x:f>
        <x:v>Đinh Quốc Bình</x:v>
      </x:c>
      <x:c r="D76" s="15" t="str">
        <x:v>DTVT</x:v>
      </x:c>
      <x:c r="E76" s="15" t="str">
        <x:v>KH075</x:v>
      </x:c>
      <x:c r="F76" s="17" t="n">
        <x:v>4.4</x:v>
      </x:c>
      <x:c r="G76" s="15" t="str">
        <x:v>Facebook Ads</x:v>
      </x:c>
      <x:c r="H76" s="15" t="str">
        <x:v>Đã xác nhận</x:v>
      </x:c>
    </x:row>
    <x:row r="77" ht="27" customHeight="1">
      <x:c r="A77" s="15" t="str">
        <x:v>SV076</x:v>
      </x:c>
      <x:c r="B77" s="15" t="str">
        <x:v>Phan Quốc Khang</x:v>
      </x:c>
      <x:c r="C77" s="15" t="str">
        <x:f>TRIM(B77)</x:f>
        <x:v>Phan Quốc Khang</x:v>
      </x:c>
      <x:c r="D77" s="15" t="str">
        <x:v>CNTT</x:v>
      </x:c>
      <x:c r="E77" s="15" t="str">
        <x:v>KH076</x:v>
      </x:c>
      <x:c r="F77" s="17" t="n">
        <x:v>5.1</x:v>
      </x:c>
      <x:c r="G77" s="15" t="str">
        <x:v>Zalo OA</x:v>
      </x:c>
      <x:c r="H77" s="15" t="str">
        <x:v>Đã xác nhận</x:v>
      </x:c>
    </x:row>
    <x:row r="78" ht="27" customHeight="1">
      <x:c r="A78" s="15" t="str">
        <x:v>SV077</x:v>
      </x:c>
      <x:c r="B78" s="15" t="str">
        <x:v>Mai Quốc Quân</x:v>
      </x:c>
      <x:c r="C78" s="15" t="str">
        <x:f>TRIM(B78)</x:f>
        <x:v>Mai Quốc Quân</x:v>
      </x:c>
      <x:c r="D78" s="15" t="str">
        <x:v>CNTT</x:v>
      </x:c>
      <x:c r="E78" s="15" t="str">
        <x:v>KH077</x:v>
      </x:c>
      <x:c r="F78" s="17" t="n">
        <x:v>5.8</x:v>
      </x:c>
      <x:c r="G78" s="15" t="str">
        <x:v>Website</x:v>
      </x:c>
      <x:c r="H78" s="15" t="str">
        <x:v>Đã xác nhận</x:v>
      </x:c>
    </x:row>
    <x:row r="79" ht="27" customHeight="1" hidden="1">
      <x:c r="A79" s="15" t="str">
        <x:v>SV078</x:v>
      </x:c>
      <x:c r="B79" s="15" t="str">
        <x:v>  Đào Quốc   Đức</x:v>
      </x:c>
      <x:c r="C79" s="15" t="str">
        <x:f>TRIM(B79)</x:f>
        <x:v>Đào Quốc Đức</x:v>
      </x:c>
      <x:c r="D79" s="15" t="str">
        <x:v>QTKD</x:v>
      </x:c>
      <x:c r="E79" s="15" t="str">
        <x:v>KH078</x:v>
      </x:c>
      <x:c r="F79" s="17" t="n">
        <x:v>6.5</x:v>
      </x:c>
      <x:c r="G79" s="15" t="str">
        <x:v>Google Form</x:v>
      </x:c>
      <x:c r="H79" s="15" t="str">
        <x:v>Đã xác nhận</x:v>
      </x:c>
    </x:row>
    <x:row r="80" ht="27" customHeight="1" hidden="1">
      <x:c r="A80" s="15" t="str">
        <x:v>SV079</x:v>
      </x:c>
      <x:c r="B80" s="15" t="str">
        <x:v>Cao Quốc Phúc</x:v>
      </x:c>
      <x:c r="C80" s="15" t="str">
        <x:f>TRIM(B80)</x:f>
        <x:v>Cao Quốc Phúc</x:v>
      </x:c>
      <x:c r="D80" s="15" t="str">
        <x:v>DTVT</x:v>
      </x:c>
      <x:c r="E80" s="15" t="str">
        <x:v>KH079</x:v>
      </x:c>
      <x:c r="F80" s="17" t="n">
        <x:v>7.2</x:v>
      </x:c>
      <x:c r="G80" s="15" t="str">
        <x:v>Facebook Ads</x:v>
      </x:c>
      <x:c r="H80" s="15" t="str">
        <x:v>Chờ xác nhận</x:v>
      </x:c>
    </x:row>
    <x:row r="81" ht="27" customHeight="1" hidden="1">
      <x:c r="A81" s="15" t="str">
        <x:v>SV080</x:v>
      </x:c>
      <x:c r="B81" s="15" t="str">
        <x:v>Tạ Quốc Thảo</x:v>
      </x:c>
      <x:c r="C81" s="15" t="str">
        <x:f>TRIM(B81)</x:f>
        <x:v>Tạ Quốc Thảo</x:v>
      </x:c>
      <x:c r="D81" s="15" t="str">
        <x:v>CNTT</x:v>
      </x:c>
      <x:c r="E81" s="15" t="str">
        <x:v>KH080</x:v>
      </x:c>
      <x:c r="F81" s="17" t="n">
        <x:v>7.9</x:v>
      </x:c>
      <x:c r="G81" s="15" t="str">
        <x:v>Zalo OA</x:v>
      </x:c>
      <x:c r="H81" s="15" t="str">
        <x:v>Đã xác nhận</x:v>
      </x:c>
    </x:row>
    <x:row r="82" ht="27" customHeight="1" hidden="1">
      <x:c r="A82" s="15" t="str">
        <x:v>SV081</x:v>
      </x:c>
      <x:c r="B82" s="15" t="str">
        <x:v>Nguyễn Ngọc Nam</x:v>
      </x:c>
      <x:c r="C82" s="15" t="str">
        <x:f>TRIM(B82)</x:f>
        <x:v>Nguyễn Ngọc Nam</x:v>
      </x:c>
      <x:c r="D82" s="15" t="str">
        <x:v>CNTT</x:v>
      </x:c>
      <x:c r="E82" s="15" t="str">
        <x:v>KH081</x:v>
      </x:c>
      <x:c r="F82" s="17" t="n">
        <x:v>8.6</x:v>
      </x:c>
      <x:c r="G82" s="15" t="str">
        <x:v>Website</x:v>
      </x:c>
      <x:c r="H82" s="15" t="str">
        <x:v>Đã xác nhận</x:v>
      </x:c>
    </x:row>
    <x:row r="83" ht="27" customHeight="1" hidden="1">
      <x:c r="A83" s="15" t="str">
        <x:v>SV082</x:v>
      </x:c>
      <x:c r="B83" s="15" t="str">
        <x:v>Trần Ngọc Trang  </x:v>
      </x:c>
      <x:c r="C83" s="15" t="str">
        <x:f>TRIM(B83)</x:f>
        <x:v>Trần Ngọc Trang</x:v>
      </x:c>
      <x:c r="D83" s="15" t="str">
        <x:v>QTKD</x:v>
      </x:c>
      <x:c r="E83" s="15" t="str">
        <x:v>KH082</x:v>
      </x:c>
      <x:c r="F83" s="17" t="n">
        <x:v>9.3</x:v>
      </x:c>
      <x:c r="G83" s="15" t="str">
        <x:v>Google Form</x:v>
      </x:c>
      <x:c r="H83" s="15" t="str">
        <x:v>Đã xác nhận</x:v>
      </x:c>
    </x:row>
    <x:row r="84" ht="27" customHeight="1" hidden="1">
      <x:c r="A84" s="15" t="str">
        <x:v>SV083</x:v>
      </x:c>
      <x:c r="B84" s="15" t="str">
        <x:v>Lê Ngọc Kiệt</x:v>
      </x:c>
      <x:c r="C84" s="15" t="str">
        <x:f>TRIM(B84)</x:f>
        <x:v>Lê Ngọc Kiệt</x:v>
      </x:c>
      <x:c r="D84" s="15" t="str">
        <x:v>DTVT</x:v>
      </x:c>
      <x:c r="E84" s="15" t="str">
        <x:v>KH083</x:v>
      </x:c>
      <x:c r="F84" s="17" t="n">
        <x:v>10</x:v>
      </x:c>
      <x:c r="G84" s="15" t="str">
        <x:v>Facebook Ads</x:v>
      </x:c>
      <x:c r="H84" s="15" t="str">
        <x:v>Đã xác nhận</x:v>
      </x:c>
    </x:row>
    <x:row r="85" ht="27" customHeight="1">
      <x:c r="A85" s="15" t="str">
        <x:v>SV084</x:v>
      </x:c>
      <x:c r="B85" s="15" t="str">
        <x:v>Phạm Ngọc Linh</x:v>
      </x:c>
      <x:c r="C85" s="15" t="str">
        <x:f>TRIM(B85)</x:f>
        <x:v>Phạm Ngọc Linh</x:v>
      </x:c>
      <x:c r="D85" s="15" t="str">
        <x:v>CNTT</x:v>
      </x:c>
      <x:c r="E85" s="15" t="str">
        <x:v>KH084</x:v>
      </x:c>
      <x:c r="F85" s="17" t="n">
        <x:v>0.6</x:v>
      </x:c>
      <x:c r="G85" s="15" t="str">
        <x:v>Zalo OA</x:v>
      </x:c>
      <x:c r="H85" s="15" t="str">
        <x:v>Đã xác nhận</x:v>
      </x:c>
    </x:row>
    <x:row r="86" ht="27" customHeight="1">
      <x:c r="A86" s="15" t="str">
        <x:v>SV085</x:v>
      </x:c>
      <x:c r="B86" s="15" t="str">
        <x:v>  Hoàng Ngọc Nhân</x:v>
      </x:c>
      <x:c r="C86" s="15" t="str">
        <x:f>TRIM(B86)</x:f>
        <x:v>Hoàng Ngọc Nhân</x:v>
      </x:c>
      <x:c r="D86" s="15" t="str">
        <x:v>CNTT</x:v>
      </x:c>
      <x:c r="E86" s="15" t="str">
        <x:v>KH085</x:v>
      </x:c>
      <x:c r="F86" s="17" t="n">
        <x:v>1.3</x:v>
      </x:c>
      <x:c r="G86" s="15" t="str">
        <x:v>Website</x:v>
      </x:c>
      <x:c r="H86" s="15" t="str">
        <x:v>Chờ xác nhận</x:v>
      </x:c>
    </x:row>
    <x:row r="87" ht="27" customHeight="1" hidden="1">
      <x:c r="A87" s="15" t="str">
        <x:v>SV086</x:v>
      </x:c>
      <x:c r="B87" s="15" t="str">
        <x:v>Vũ Ngọc Yến</x:v>
      </x:c>
      <x:c r="C87" s="15" t="str">
        <x:f>TRIM(B87)</x:f>
        <x:v>Vũ Ngọc Yến</x:v>
      </x:c>
      <x:c r="D87" s="15" t="str">
        <x:v>QTKD</x:v>
      </x:c>
      <x:c r="E87" s="15" t="str">
        <x:v>KH086</x:v>
      </x:c>
      <x:c r="F87" s="17" t="n">
        <x:v>2</x:v>
      </x:c>
      <x:c r="G87" s="15" t="str">
        <x:v>Google Form</x:v>
      </x:c>
      <x:c r="H87" s="15" t="str">
        <x:v>Đã xác nhận</x:v>
      </x:c>
    </x:row>
    <x:row r="88" ht="27" customHeight="1" hidden="1">
      <x:c r="A88" s="15" t="str">
        <x:v>SV087</x:v>
      </x:c>
      <x:c r="B88" s="15" t="str">
        <x:v>Võ Ngọc Huy</x:v>
      </x:c>
      <x:c r="C88" s="15" t="str">
        <x:f>TRIM(B88)</x:f>
        <x:v>Võ Ngọc Huy</x:v>
      </x:c>
      <x:c r="D88" s="15" t="str">
        <x:v>DTVT</x:v>
      </x:c>
      <x:c r="E88" s="15" t="str">
        <x:v>KH087</x:v>
      </x:c>
      <x:c r="F88" s="17" t="n">
        <x:v>2.7</x:v>
      </x:c>
      <x:c r="G88" s="15" t="str">
        <x:v>Facebook Ads</x:v>
      </x:c>
      <x:c r="H88" s="15" t="str">
        <x:v>Đã xác nhận</x:v>
      </x:c>
    </x:row>
    <x:row r="89" ht="27" customHeight="1">
      <x:c r="A89" s="15" t="str">
        <x:v>SV088</x:v>
      </x:c>
      <x:c r="B89" s="15" t="str">
        <x:v>Đặng Ngọc Long</x:v>
      </x:c>
      <x:c r="C89" s="15" t="str">
        <x:f>TRIM(B89)</x:f>
        <x:v>Đặng Ngọc Long</x:v>
      </x:c>
      <x:c r="D89" s="15" t="str">
        <x:v>CNTT</x:v>
      </x:c>
      <x:c r="E89" s="15" t="str">
        <x:v>KH088</x:v>
      </x:c>
      <x:c r="F89" s="17" t="n">
        <x:v>3.4</x:v>
      </x:c>
      <x:c r="G89" s="15" t="str">
        <x:v>Zalo OA</x:v>
      </x:c>
      <x:c r="H89" s="15" t="str">
        <x:v>Đã xác nhận</x:v>
      </x:c>
    </x:row>
    <x:row r="90" ht="27" customHeight="1">
      <x:c r="A90" s="15" t="str">
        <x:v>SV089</x:v>
      </x:c>
      <x:c r="B90" s="15" t="str">
        <x:v>Bùi Ngọc   An</x:v>
      </x:c>
      <x:c r="C90" s="15" t="str">
        <x:f>TRIM(B90)</x:f>
        <x:v>Bùi Ngọc An</x:v>
      </x:c>
      <x:c r="D90" s="15" t="str">
        <x:v>CNTT</x:v>
      </x:c>
      <x:c r="E90" s="15" t="str">
        <x:v>KH089</x:v>
      </x:c>
      <x:c r="F90" s="17" t="n">
        <x:v>4.1</x:v>
      </x:c>
      <x:c r="G90" s="15" t="str">
        <x:v>Website</x:v>
      </x:c>
      <x:c r="H90" s="15" t="str">
        <x:v>Đã xác nhận</x:v>
      </x:c>
    </x:row>
    <x:row r="91" ht="27" customHeight="1" hidden="1">
      <x:c r="A91" s="15" t="str">
        <x:v>SV090</x:v>
      </x:c>
      <x:c r="B91" s="15" t="str">
        <x:v>Đỗ Ngọc Vy</x:v>
      </x:c>
      <x:c r="C91" s="15" t="str">
        <x:f>TRIM(B91)</x:f>
        <x:v>Đỗ Ngọc Vy</x:v>
      </x:c>
      <x:c r="D91" s="15" t="str">
        <x:v>QTKD</x:v>
      </x:c>
      <x:c r="E91" s="15" t="str">
        <x:v>KH090</x:v>
      </x:c>
      <x:c r="F91" s="17" t="n">
        <x:v>4.8</x:v>
      </x:c>
      <x:c r="G91" s="15" t="str">
        <x:v>Google Form</x:v>
      </x:c>
      <x:c r="H91" s="15" t="str">
        <x:v>Đã xác nhận</x:v>
      </x:c>
    </x:row>
    <x:row r="92" ht="27" customHeight="1" hidden="1">
      <x:c r="A92" s="15" t="str">
        <x:v>SV091</x:v>
      </x:c>
      <x:c r="B92" s="15" t="str">
        <x:v>Hồ Ngọc Mai  </x:v>
      </x:c>
      <x:c r="C92" s="15" t="str">
        <x:f>TRIM(B92)</x:f>
        <x:v>Hồ Ngọc Mai</x:v>
      </x:c>
      <x:c r="D92" s="15" t="str">
        <x:v>DTVT</x:v>
      </x:c>
      <x:c r="E92" s="15" t="str">
        <x:v>KH091</x:v>
      </x:c>
      <x:c r="F92" s="17" t="n">
        <x:v>5.5</x:v>
      </x:c>
      <x:c r="G92" s="15" t="str">
        <x:v>Facebook Ads</x:v>
      </x:c>
      <x:c r="H92" s="15" t="str">
        <x:v>Chờ xác nhận</x:v>
      </x:c>
    </x:row>
    <x:row r="93" ht="27" customHeight="1">
      <x:c r="A93" s="15" t="str">
        <x:v>SV092</x:v>
      </x:c>
      <x:c r="B93" s="15" t="str">
        <x:v>  Ngô Ngọc Bình</x:v>
      </x:c>
      <x:c r="C93" s="15" t="str">
        <x:f>TRIM(B93)</x:f>
        <x:v>Ngô Ngọc Bình</x:v>
      </x:c>
      <x:c r="D93" s="15" t="str">
        <x:v>CNTT</x:v>
      </x:c>
      <x:c r="E93" s="15" t="str">
        <x:v>KH092</x:v>
      </x:c>
      <x:c r="F93" s="17" t="n">
        <x:v>6.2</x:v>
      </x:c>
      <x:c r="G93" s="15" t="str">
        <x:v>Zalo OA</x:v>
      </x:c>
      <x:c r="H93" s="15" t="str">
        <x:v>Đã xác nhận</x:v>
      </x:c>
    </x:row>
    <x:row r="94" ht="27" customHeight="1">
      <x:c r="A94" s="15" t="str">
        <x:v>SV093</x:v>
      </x:c>
      <x:c r="B94" s="15" t="str">
        <x:v>Dương Ngọc Khang</x:v>
      </x:c>
      <x:c r="C94" s="15" t="str">
        <x:f>TRIM(B94)</x:f>
        <x:v>Dương Ngọc Khang</x:v>
      </x:c>
      <x:c r="D94" s="15" t="str">
        <x:v>CNTT</x:v>
      </x:c>
      <x:c r="E94" s="15" t="str">
        <x:v>KH093</x:v>
      </x:c>
      <x:c r="F94" s="17" t="n">
        <x:v>6.9</x:v>
      </x:c>
      <x:c r="G94" s="15" t="str">
        <x:v>Website</x:v>
      </x:c>
      <x:c r="H94" s="15" t="str">
        <x:v>Đã xác nhận</x:v>
      </x:c>
    </x:row>
    <x:row r="95" ht="27" customHeight="1" hidden="1">
      <x:c r="A95" s="15" t="str">
        <x:v>SV094</x:v>
      </x:c>
      <x:c r="B95" s="15" t="str">
        <x:v>Lý Ngọc Quân</x:v>
      </x:c>
      <x:c r="C95" s="15" t="str">
        <x:f>TRIM(B95)</x:f>
        <x:v>Lý Ngọc Quân</x:v>
      </x:c>
      <x:c r="D95" s="15" t="str">
        <x:v>QTKD</x:v>
      </x:c>
      <x:c r="E95" s="15" t="str">
        <x:v>KH094</x:v>
      </x:c>
      <x:c r="F95" s="17" t="n">
        <x:v>7.6</x:v>
      </x:c>
      <x:c r="G95" s="15" t="str">
        <x:v>Google Form</x:v>
      </x:c>
      <x:c r="H95" s="15" t="str">
        <x:v>Đã xác nhận</x:v>
      </x:c>
    </x:row>
    <x:row r="96" ht="27" customHeight="1" hidden="1">
      <x:c r="A96" s="15" t="str">
        <x:v>SV095</x:v>
      </x:c>
      <x:c r="B96" s="15" t="str">
        <x:v>Đinh Ngọc Đức</x:v>
      </x:c>
      <x:c r="C96" s="15" t="str">
        <x:f>TRIM(B96)</x:f>
        <x:v>Đinh Ngọc Đức</x:v>
      </x:c>
      <x:c r="D96" s="15" t="str">
        <x:v>DTVT</x:v>
      </x:c>
      <x:c r="E96" s="15" t="str">
        <x:v>KH095</x:v>
      </x:c>
      <x:c r="F96" s="17" t="n">
        <x:v>8.3</x:v>
      </x:c>
      <x:c r="G96" s="15" t="str">
        <x:v>Facebook Ads</x:v>
      </x:c>
      <x:c r="H96" s="15" t="str">
        <x:v>Đã xác nhận</x:v>
      </x:c>
    </x:row>
    <x:row r="97" ht="27" customHeight="1" hidden="1">
      <x:c r="A97" s="15" t="str">
        <x:v>SV096</x:v>
      </x:c>
      <x:c r="B97" s="15" t="str">
        <x:v>Phan Ngọc Phúc</x:v>
      </x:c>
      <x:c r="C97" s="15" t="str">
        <x:f>TRIM(B97)</x:f>
        <x:v>Phan Ngọc Phúc</x:v>
      </x:c>
      <x:c r="D97" s="15" t="str">
        <x:v>CNTT</x:v>
      </x:c>
      <x:c r="E97" s="15" t="str">
        <x:v>KH096</x:v>
      </x:c>
      <x:c r="F97" s="17" t="n">
        <x:v>9</x:v>
      </x:c>
      <x:c r="G97" s="15" t="str">
        <x:v>Zalo OA</x:v>
      </x:c>
      <x:c r="H97" s="15" t="str">
        <x:v>Đã xác nhận</x:v>
      </x:c>
    </x:row>
    <x:row r="98" ht="27" customHeight="1" hidden="1">
      <x:c r="A98" s="15" t="str">
        <x:v>SV097</x:v>
      </x:c>
      <x:c r="B98" s="15" t="str">
        <x:v>Mai Ngọc Thảo</x:v>
      </x:c>
      <x:c r="C98" s="15" t="str">
        <x:f>TRIM(B98)</x:f>
        <x:v>Mai Ngọc Thảo</x:v>
      </x:c>
      <x:c r="D98" s="15" t="str">
        <x:v>CNTT</x:v>
      </x:c>
      <x:c r="E98" s="15" t="str">
        <x:v>KH097</x:v>
      </x:c>
      <x:c r="F98" s="17" t="n">
        <x:v>9.7</x:v>
      </x:c>
      <x:c r="G98" s="15" t="str">
        <x:v>Website</x:v>
      </x:c>
      <x:c r="H98" s="15" t="str">
        <x:v>Chờ xác nhận</x:v>
      </x:c>
    </x:row>
    <x:row r="99" ht="27" customHeight="1" hidden="1">
      <x:c r="A99" s="15" t="str">
        <x:v>SV098</x:v>
      </x:c>
      <x:c r="B99" s="15" t="str">
        <x:v>Đào Ngọc Hà</x:v>
      </x:c>
      <x:c r="C99" s="15" t="str">
        <x:f>TRIM(B99)</x:f>
        <x:v>Đào Ngọc Hà</x:v>
      </x:c>
      <x:c r="D99" s="15" t="str">
        <x:v>QTKD</x:v>
      </x:c>
      <x:c r="E99" s="15" t="str">
        <x:v>KH098</x:v>
      </x:c>
      <x:c r="F99" s="17" t="n">
        <x:v>0.3</x:v>
      </x:c>
      <x:c r="G99" s="15" t="str">
        <x:v>Google Form</x:v>
      </x:c>
      <x:c r="H99" s="15" t="str">
        <x:v>Đã xác nhận</x:v>
      </x:c>
    </x:row>
    <x:row r="100" ht="27" customHeight="1" hidden="1">
      <x:c r="A100" s="15" t="str">
        <x:v>SV099</x:v>
      </x:c>
      <x:c r="B100" s="15" t="str">
        <x:v>  Cao Ngọc Anh</x:v>
      </x:c>
      <x:c r="C100" s="15" t="str">
        <x:f>TRIM(B100)</x:f>
        <x:v>Cao Ngọc Anh</x:v>
      </x:c>
      <x:c r="D100" s="15" t="str">
        <x:v>DTVT</x:v>
      </x:c>
      <x:c r="E100" s="15" t="str">
        <x:v>KH099</x:v>
      </x:c>
      <x:c r="F100" s="17" t="n">
        <x:v>1</x:v>
      </x:c>
      <x:c r="G100" s="15" t="str">
        <x:v>Facebook Ads</x:v>
      </x:c>
      <x:c r="H100" s="15" t="str">
        <x:v>Đã xác nhận</x:v>
      </x:c>
    </x:row>
    <x:row r="101" ht="27" customHeight="1">
      <x:c r="A101" s="15" t="str">
        <x:v>SV100</x:v>
      </x:c>
      <x:c r="B101" s="15" t="str">
        <x:v>Tạ Ngọc   Tâm  </x:v>
      </x:c>
      <x:c r="C101" s="15" t="str">
        <x:f>TRIM(B101)</x:f>
        <x:v>Tạ Ngọc Tâm</x:v>
      </x:c>
      <x:c r="D101" s="15" t="str">
        <x:v>CNTT</x:v>
      </x:c>
      <x:c r="E101" s="15" t="str">
        <x:v>KH100</x:v>
      </x:c>
      <x:c r="F101" s="17" t="n">
        <x:v>1.7</x:v>
      </x:c>
      <x:c r="G101" s="15" t="str">
        <x:v>Zalo OA</x:v>
      </x:c>
      <x:c r="H101" s="15" t="str">
        <x:v>Đã xác nhận</x:v>
      </x:c>
    </x:row>
    <x:row r="102" ht="27" customHeight="1">
      <x:c r="A102" s="15" t="str">
        <x:v>SV101</x:v>
      </x:c>
      <x:c r="B102" s="15" t="str">
        <x:v>Nguyễn Thanh Linh</x:v>
      </x:c>
      <x:c r="C102" s="15" t="str">
        <x:f>TRIM(B102)</x:f>
        <x:v>Nguyễn Thanh Linh</x:v>
      </x:c>
      <x:c r="D102" s="15" t="str">
        <x:v>CNTT</x:v>
      </x:c>
      <x:c r="E102" s="15" t="str">
        <x:v>KH101</x:v>
      </x:c>
      <x:c r="F102" s="17" t="n">
        <x:v>2.4</x:v>
      </x:c>
      <x:c r="G102" s="15" t="str">
        <x:v>Website</x:v>
      </x:c>
      <x:c r="H102" s="15" t="str">
        <x:v>Đã xác nhận</x:v>
      </x:c>
    </x:row>
    <x:row r="103" ht="27" customHeight="1" hidden="1">
      <x:c r="A103" s="15" t="str">
        <x:v>SV102</x:v>
      </x:c>
      <x:c r="B103" s="15" t="str">
        <x:v>Trần Thanh Nhân</x:v>
      </x:c>
      <x:c r="C103" s="15" t="str">
        <x:f>TRIM(B103)</x:f>
        <x:v>Trần Thanh Nhân</x:v>
      </x:c>
      <x:c r="D103" s="15" t="str">
        <x:v>QTKD</x:v>
      </x:c>
      <x:c r="E103" s="15" t="str">
        <x:v>KH102</x:v>
      </x:c>
      <x:c r="F103" s="17" t="n">
        <x:v>3.1</x:v>
      </x:c>
      <x:c r="G103" s="15" t="str">
        <x:v>Google Form</x:v>
      </x:c>
      <x:c r="H103" s="15" t="str">
        <x:v>Đã xác nhận</x:v>
      </x:c>
    </x:row>
    <x:row r="104" ht="27" customHeight="1" hidden="1">
      <x:c r="A104" s="15" t="str">
        <x:v>SV103</x:v>
      </x:c>
      <x:c r="B104" s="15" t="str">
        <x:v>Lê Thanh Yến</x:v>
      </x:c>
      <x:c r="C104" s="15" t="str">
        <x:f>TRIM(B104)</x:f>
        <x:v>Lê Thanh Yến</x:v>
      </x:c>
      <x:c r="D104" s="15" t="str">
        <x:v>DTVT</x:v>
      </x:c>
      <x:c r="E104" s="15" t="str">
        <x:v>KH103</x:v>
      </x:c>
      <x:c r="F104" s="17" t="n">
        <x:v>3.8</x:v>
      </x:c>
      <x:c r="G104" s="15" t="str">
        <x:v>Facebook Ads</x:v>
      </x:c>
      <x:c r="H104" s="15" t="str">
        <x:v>Chờ xác nhận</x:v>
      </x:c>
    </x:row>
    <x:row r="105" ht="27" customHeight="1">
      <x:c r="A105" s="15" t="str">
        <x:v>SV104</x:v>
      </x:c>
      <x:c r="B105" s="15" t="str">
        <x:v>Phạm Thanh Huy</x:v>
      </x:c>
      <x:c r="C105" s="15" t="str">
        <x:f>TRIM(B105)</x:f>
        <x:v>Phạm Thanh Huy</x:v>
      </x:c>
      <x:c r="D105" s="15" t="str">
        <x:v>CNTT</x:v>
      </x:c>
      <x:c r="E105" s="15" t="str">
        <x:v>KH104</x:v>
      </x:c>
      <x:c r="F105" s="17" t="n">
        <x:v>4.5</x:v>
      </x:c>
      <x:c r="G105" s="15" t="str">
        <x:v>Zalo OA</x:v>
      </x:c>
      <x:c r="H105" s="15" t="str">
        <x:v>Đã xác nhận</x:v>
      </x:c>
    </x:row>
    <x:row r="106" ht="27" customHeight="1">
      <x:c r="A106" s="15" t="str">
        <x:v>SV105</x:v>
      </x:c>
      <x:c r="B106" s="15" t="str">
        <x:v>Hoàng Thanh Long</x:v>
      </x:c>
      <x:c r="C106" s="15" t="str">
        <x:f>TRIM(B106)</x:f>
        <x:v>Hoàng Thanh Long</x:v>
      </x:c>
      <x:c r="D106" s="15" t="str">
        <x:v>CNTT</x:v>
      </x:c>
      <x:c r="E106" s="15" t="str">
        <x:v>KH105</x:v>
      </x:c>
      <x:c r="F106" s="17" t="n">
        <x:v>5.2</x:v>
      </x:c>
      <x:c r="G106" s="15" t="str">
        <x:v>Website</x:v>
      </x:c>
      <x:c r="H106" s="15" t="str">
        <x:v>Đã xác nhận</x:v>
      </x:c>
    </x:row>
    <x:row r="107" ht="27" customHeight="1" hidden="1">
      <x:c r="A107" s="15" t="str">
        <x:v>SV106</x:v>
      </x:c>
      <x:c r="B107" s="15" t="str">
        <x:v>  Vũ Thanh An</x:v>
      </x:c>
      <x:c r="C107" s="15" t="str">
        <x:f>TRIM(B107)</x:f>
        <x:v>Vũ Thanh An</x:v>
      </x:c>
      <x:c r="D107" s="15" t="str">
        <x:v>QTKD</x:v>
      </x:c>
      <x:c r="E107" s="15" t="str">
        <x:v>KH106</x:v>
      </x:c>
      <x:c r="F107" s="17" t="n">
        <x:v>5.9</x:v>
      </x:c>
      <x:c r="G107" s="15" t="str">
        <x:v>Google Form</x:v>
      </x:c>
      <x:c r="H107" s="15" t="str">
        <x:v>Đã xác nhận</x:v>
      </x:c>
    </x:row>
    <x:row r="108" ht="27" customHeight="1" hidden="1">
      <x:c r="A108" s="15" t="str">
        <x:v>SV107</x:v>
      </x:c>
      <x:c r="B108" s="15" t="str">
        <x:v>Võ Thanh Vy</x:v>
      </x:c>
      <x:c r="C108" s="15" t="str">
        <x:f>TRIM(B108)</x:f>
        <x:v>Võ Thanh Vy</x:v>
      </x:c>
      <x:c r="D108" s="15" t="str">
        <x:v>DTVT</x:v>
      </x:c>
      <x:c r="E108" s="15" t="str">
        <x:v>KH107</x:v>
      </x:c>
      <x:c r="F108" s="17" t="n">
        <x:v>6.6</x:v>
      </x:c>
      <x:c r="G108" s="15" t="str">
        <x:v>Facebook Ads</x:v>
      </x:c>
      <x:c r="H108" s="15" t="str">
        <x:v>Đã xác nhận</x:v>
      </x:c>
    </x:row>
    <x:row r="109" ht="27" customHeight="1" hidden="1">
      <x:c r="A109" s="15" t="str">
        <x:v>SV108</x:v>
      </x:c>
      <x:c r="B109" s="15" t="str">
        <x:v>Đặng Thanh Mai</x:v>
      </x:c>
      <x:c r="C109" s="15" t="str">
        <x:f>TRIM(B109)</x:f>
        <x:v>Đặng Thanh Mai</x:v>
      </x:c>
      <x:c r="D109" s="15" t="str">
        <x:v>CNTT</x:v>
      </x:c>
      <x:c r="E109" s="15" t="str">
        <x:v>KH108</x:v>
      </x:c>
      <x:c r="F109" s="17" t="n">
        <x:v>7.3</x:v>
      </x:c>
      <x:c r="G109" s="15" t="str">
        <x:v>Zalo OA</x:v>
      </x:c>
      <x:c r="H109" s="15" t="str">
        <x:v>Đã xác nhận</x:v>
      </x:c>
    </x:row>
    <x:row r="110" ht="27" customHeight="1" hidden="1">
      <x:c r="A110" s="15" t="str">
        <x:v>SV109</x:v>
      </x:c>
      <x:c r="B110" s="15" t="str">
        <x:v>Bùi Thanh Bình  </x:v>
      </x:c>
      <x:c r="C110" s="15" t="str">
        <x:f>TRIM(B110)</x:f>
        <x:v>Bùi Thanh Bình</x:v>
      </x:c>
      <x:c r="D110" s="15" t="str">
        <x:v>CNTT</x:v>
      </x:c>
      <x:c r="E110" s="15" t="str">
        <x:v>KH109</x:v>
      </x:c>
      <x:c r="F110" s="17" t="n">
        <x:v>8</x:v>
      </x:c>
      <x:c r="G110" s="15" t="str">
        <x:v>Website</x:v>
      </x:c>
      <x:c r="H110" s="15" t="str">
        <x:v>Chờ xác nhận</x:v>
      </x:c>
    </x:row>
    <x:row r="111" ht="27" customHeight="1" hidden="1">
      <x:c r="A111" s="15" t="str">
        <x:v>SV110</x:v>
      </x:c>
      <x:c r="B111" s="15" t="str">
        <x:v>Đỗ Thanh Khang</x:v>
      </x:c>
      <x:c r="C111" s="15" t="str">
        <x:f>TRIM(B111)</x:f>
        <x:v>Đỗ Thanh Khang</x:v>
      </x:c>
      <x:c r="D111" s="15" t="str">
        <x:v>QTKD</x:v>
      </x:c>
      <x:c r="E111" s="15" t="str">
        <x:v>KH110</x:v>
      </x:c>
      <x:c r="F111" s="17" t="n">
        <x:v>8.7</x:v>
      </x:c>
      <x:c r="G111" s="15" t="str">
        <x:v>Google Form</x:v>
      </x:c>
      <x:c r="H111" s="15" t="str">
        <x:v>Đã xác nhận</x:v>
      </x:c>
    </x:row>
    <x:row r="112" ht="27" customHeight="1" hidden="1">
      <x:c r="A112" s="15" t="str">
        <x:v>SV111</x:v>
      </x:c>
      <x:c r="B112" s="15" t="str">
        <x:v>Hồ Thanh   Quân</x:v>
      </x:c>
      <x:c r="C112" s="15" t="str">
        <x:f>TRIM(B112)</x:f>
        <x:v>Hồ Thanh Quân</x:v>
      </x:c>
      <x:c r="D112" s="15" t="str">
        <x:v>DTVT</x:v>
      </x:c>
      <x:c r="E112" s="15" t="str">
        <x:v>KH111</x:v>
      </x:c>
      <x:c r="F112" s="17" t="n">
        <x:v>9.4</x:v>
      </x:c>
      <x:c r="G112" s="15" t="str">
        <x:v>Facebook Ads</x:v>
      </x:c>
      <x:c r="H112" s="15" t="str">
        <x:v>Đã xác nhận</x:v>
      </x:c>
    </x:row>
    <x:row r="113" ht="27" customHeight="1">
      <x:c r="A113" s="15" t="str">
        <x:v>SV112</x:v>
      </x:c>
      <x:c r="B113" s="15" t="str">
        <x:v>Ngô Thanh Đức</x:v>
      </x:c>
      <x:c r="C113" s="15" t="str">
        <x:f>TRIM(B113)</x:f>
        <x:v>Ngô Thanh Đức</x:v>
      </x:c>
      <x:c r="D113" s="15" t="str">
        <x:v>CNTT</x:v>
      </x:c>
      <x:c r="E113" s="15" t="str">
        <x:v>KH112</x:v>
      </x:c>
      <x:c r="F113" s="17" t="n">
        <x:v>0</x:v>
      </x:c>
      <x:c r="G113" s="15" t="str">
        <x:v>Zalo OA</x:v>
      </x:c>
      <x:c r="H113" s="15" t="str">
        <x:v>Đã xác nhận</x:v>
      </x:c>
    </x:row>
    <x:row r="114" ht="27" customHeight="1">
      <x:c r="A114" s="15" t="str">
        <x:v>SV113</x:v>
      </x:c>
      <x:c r="B114" s="15" t="str">
        <x:v>  Dương Thanh Phúc</x:v>
      </x:c>
      <x:c r="C114" s="15" t="str">
        <x:f>TRIM(B114)</x:f>
        <x:v>Dương Thanh Phúc</x:v>
      </x:c>
      <x:c r="D114" s="15" t="str">
        <x:v>CNTT</x:v>
      </x:c>
      <x:c r="E114" s="15" t="str">
        <x:v>KH113</x:v>
      </x:c>
      <x:c r="F114" s="17" t="n">
        <x:v>0.7</x:v>
      </x:c>
      <x:c r="G114" s="15" t="str">
        <x:v>Website</x:v>
      </x:c>
      <x:c r="H114" s="15" t="str">
        <x:v>Đã xác nhận</x:v>
      </x:c>
    </x:row>
    <x:row r="115" ht="27" customHeight="1" hidden="1">
      <x:c r="A115" s="15" t="str">
        <x:v>SV114</x:v>
      </x:c>
      <x:c r="B115" s="15" t="str">
        <x:v>Lý Thanh Thảo</x:v>
      </x:c>
      <x:c r="C115" s="15" t="str">
        <x:f>TRIM(B115)</x:f>
        <x:v>Lý Thanh Thảo</x:v>
      </x:c>
      <x:c r="D115" s="15" t="str">
        <x:v>QTKD</x:v>
      </x:c>
      <x:c r="E115" s="15" t="str">
        <x:v>KH114</x:v>
      </x:c>
      <x:c r="F115" s="17" t="n">
        <x:v>1.4</x:v>
      </x:c>
      <x:c r="G115" s="15" t="str">
        <x:v>Google Form</x:v>
      </x:c>
      <x:c r="H115" s="15" t="str">
        <x:v>Đã xác nhận</x:v>
      </x:c>
    </x:row>
    <x:row r="116" ht="27" customHeight="1" hidden="1">
      <x:c r="A116" s="15" t="str">
        <x:v>SV115</x:v>
      </x:c>
      <x:c r="B116" s="15" t="str">
        <x:v>Đinh Thanh Hà</x:v>
      </x:c>
      <x:c r="C116" s="15" t="str">
        <x:f>TRIM(B116)</x:f>
        <x:v>Đinh Thanh Hà</x:v>
      </x:c>
      <x:c r="D116" s="15" t="str">
        <x:v>DTVT</x:v>
      </x:c>
      <x:c r="E116" s="15" t="str">
        <x:v>KH115</x:v>
      </x:c>
      <x:c r="F116" s="17" t="n">
        <x:v>2.1</x:v>
      </x:c>
      <x:c r="G116" s="15" t="str">
        <x:v>Facebook Ads</x:v>
      </x:c>
      <x:c r="H116" s="15" t="str">
        <x:v>Chờ xác nhận</x:v>
      </x:c>
    </x:row>
    <x:row r="117" ht="27" customHeight="1">
      <x:c r="A117" s="15" t="str">
        <x:v>SV116</x:v>
      </x:c>
      <x:c r="B117" s="15" t="str">
        <x:v>Phan Thanh Anh</x:v>
      </x:c>
      <x:c r="C117" s="15" t="str">
        <x:f>TRIM(B117)</x:f>
        <x:v>Phan Thanh Anh</x:v>
      </x:c>
      <x:c r="D117" s="15" t="str">
        <x:v>CNTT</x:v>
      </x:c>
      <x:c r="E117" s="15" t="str">
        <x:v>KH116</x:v>
      </x:c>
      <x:c r="F117" s="17" t="n">
        <x:v>2.8</x:v>
      </x:c>
      <x:c r="G117" s="15" t="str">
        <x:v>Zalo OA</x:v>
      </x:c>
      <x:c r="H117" s="15" t="str">
        <x:v>Đã xác nhận</x:v>
      </x:c>
    </x:row>
    <x:row r="118" ht="27" customHeight="1">
      <x:c r="A118" s="15" t="str">
        <x:v>SV117</x:v>
      </x:c>
      <x:c r="B118" s="15" t="str">
        <x:v>Mai Thanh Tâm</x:v>
      </x:c>
      <x:c r="C118" s="15" t="str">
        <x:f>TRIM(B118)</x:f>
        <x:v>Mai Thanh Tâm</x:v>
      </x:c>
      <x:c r="D118" s="15" t="str">
        <x:v>CNTT</x:v>
      </x:c>
      <x:c r="E118" s="15" t="str">
        <x:v>KH117</x:v>
      </x:c>
      <x:c r="F118" s="17" t="n">
        <x:v>3.5</x:v>
      </x:c>
      <x:c r="G118" s="15" t="str">
        <x:v>Website</x:v>
      </x:c>
      <x:c r="H118" s="15" t="str">
        <x:v>Đã xác nhận</x:v>
      </x:c>
    </x:row>
    <x:row r="119" ht="27" customHeight="1" hidden="1">
      <x:c r="A119" s="15" t="str">
        <x:v>SV118</x:v>
      </x:c>
      <x:c r="B119" s="15" t="str">
        <x:v>Đào Thanh Nam  </x:v>
      </x:c>
      <x:c r="C119" s="15" t="str">
        <x:f>TRIM(B119)</x:f>
        <x:v>Đào Thanh Nam</x:v>
      </x:c>
      <x:c r="D119" s="15" t="str">
        <x:v>QTKD</x:v>
      </x:c>
      <x:c r="E119" s="15" t="str">
        <x:v>KH118</x:v>
      </x:c>
      <x:c r="F119" s="17" t="n">
        <x:v>4.2</x:v>
      </x:c>
      <x:c r="G119" s="15" t="str">
        <x:v>Google Form</x:v>
      </x:c>
      <x:c r="H119" s="15" t="str">
        <x:v>Đã xác nhận</x:v>
      </x:c>
    </x:row>
    <x:row r="120" ht="27" customHeight="1" hidden="1">
      <x:c r="A120" s="15" t="str">
        <x:v>SV119</x:v>
      </x:c>
      <x:c r="B120" s="15" t="str">
        <x:v>Cao Thanh Trang</x:v>
      </x:c>
      <x:c r="C120" s="15" t="str">
        <x:f>TRIM(B120)</x:f>
        <x:v>Cao Thanh Trang</x:v>
      </x:c>
      <x:c r="D120" s="15" t="str">
        <x:v>DTVT</x:v>
      </x:c>
      <x:c r="E120" s="15" t="str">
        <x:v>KH119</x:v>
      </x:c>
      <x:c r="F120" s="17" t="n">
        <x:v>4.9</x:v>
      </x:c>
      <x:c r="G120" s="15" t="str">
        <x:v>Facebook Ads</x:v>
      </x:c>
      <x:c r="H120" s="15" t="str">
        <x:v>Đã xác nhận</x:v>
      </x:c>
    </x:row>
    <x:row r="121" ht="27" customHeight="1">
      <x:c r="A121" s="15" t="str">
        <x:v>SV120</x:v>
      </x:c>
      <x:c r="B121" s="15" t="str">
        <x:v>  Tạ Thanh Kiệt</x:v>
      </x:c>
      <x:c r="C121" s="15" t="str">
        <x:f>TRIM(B121)</x:f>
        <x:v>Tạ Thanh Kiệt</x:v>
      </x:c>
      <x:c r="D121" s="15" t="str">
        <x:v>CNTT</x:v>
      </x:c>
      <x:c r="E121" s="15" t="str">
        <x:v>KH120</x:v>
      </x:c>
      <x:c r="F121" s="17" t="n">
        <x:v>5.6</x:v>
      </x:c>
      <x:c r="G121" s="15" t="str">
        <x:v>Zalo OA</x:v>
      </x:c>
      <x:c r="H121" s="15" t="str">
        <x:v>Đã xác nhận</x:v>
      </x:c>
    </x:row>
    <x:row r="122" ht="27" customHeight="1">
      <x:c r="A122" s="15" t="str">
        <x:v>SV121</x:v>
      </x:c>
      <x:c r="B122" s="15" t="str">
        <x:v>Nguyễn Gia Huy</x:v>
      </x:c>
      <x:c r="C122" s="15" t="str">
        <x:f>TRIM(B122)</x:f>
        <x:v>Nguyễn Gia Huy</x:v>
      </x:c>
      <x:c r="D122" s="15" t="str">
        <x:v>CNTT</x:v>
      </x:c>
      <x:c r="E122" s="15" t="str">
        <x:v>KH121</x:v>
      </x:c>
      <x:c r="F122" s="17" t="n">
        <x:v>6.3</x:v>
      </x:c>
      <x:c r="G122" s="15" t="str">
        <x:v>Website</x:v>
      </x:c>
      <x:c r="H122" s="15" t="str">
        <x:v>Chờ xác nhận</x:v>
      </x:c>
    </x:row>
    <x:row r="123" ht="27" customHeight="1" hidden="1">
      <x:c r="A123" s="15" t="str">
        <x:v>SV122</x:v>
      </x:c>
      <x:c r="B123" s="15" t="str">
        <x:v>Trần Gia   Long</x:v>
      </x:c>
      <x:c r="C123" s="15" t="str">
        <x:f>TRIM(B123)</x:f>
        <x:v>Trần Gia Long</x:v>
      </x:c>
      <x:c r="D123" s="15" t="str">
        <x:v>QTKD</x:v>
      </x:c>
      <x:c r="E123" s="15" t="str">
        <x:v>KH122</x:v>
      </x:c>
      <x:c r="F123" s="17" t="n">
        <x:v>7</x:v>
      </x:c>
      <x:c r="G123" s="15" t="str">
        <x:v>Google Form</x:v>
      </x:c>
      <x:c r="H123" s="15" t="str">
        <x:v>Đã xác nhận</x:v>
      </x:c>
    </x:row>
    <x:row r="124" ht="27" customHeight="1" hidden="1">
      <x:c r="A124" s="15" t="str">
        <x:v>SV123</x:v>
      </x:c>
      <x:c r="B124" s="15" t="str">
        <x:v>Lê Gia An</x:v>
      </x:c>
      <x:c r="C124" s="15" t="str">
        <x:f>TRIM(B124)</x:f>
        <x:v>Lê Gia An</x:v>
      </x:c>
      <x:c r="D124" s="15" t="str">
        <x:v>DTVT</x:v>
      </x:c>
      <x:c r="E124" s="15" t="str">
        <x:v>KH123</x:v>
      </x:c>
      <x:c r="F124" s="17" t="n">
        <x:v>7.7</x:v>
      </x:c>
      <x:c r="G124" s="15" t="str">
        <x:v>Facebook Ads</x:v>
      </x:c>
      <x:c r="H124" s="15" t="str">
        <x:v>Đã xác nhận</x:v>
      </x:c>
    </x:row>
    <x:row r="125" ht="27" customHeight="1" hidden="1">
      <x:c r="A125" s="15" t="str">
        <x:v>SV124</x:v>
      </x:c>
      <x:c r="B125" s="15" t="str">
        <x:v>Phạm Gia Vy</x:v>
      </x:c>
      <x:c r="C125" s="15" t="str">
        <x:f>TRIM(B125)</x:f>
        <x:v>Phạm Gia Vy</x:v>
      </x:c>
      <x:c r="D125" s="15" t="str">
        <x:v>CNTT</x:v>
      </x:c>
      <x:c r="E125" s="15" t="str">
        <x:v>KH124</x:v>
      </x:c>
      <x:c r="F125" s="17" t="n">
        <x:v>8.4</x:v>
      </x:c>
      <x:c r="G125" s="15" t="str">
        <x:v>Zalo OA</x:v>
      </x:c>
      <x:c r="H125" s="15" t="str">
        <x:v>Đã xác nhận</x:v>
      </x:c>
    </x:row>
    <x:row r="126" ht="27" customHeight="1" hidden="1">
      <x:c r="A126" s="15" t="str">
        <x:v>SV125</x:v>
      </x:c>
      <x:c r="B126" s="15" t="str">
        <x:v>Hoàng Gia Mai</x:v>
      </x:c>
      <x:c r="C126" s="15" t="str">
        <x:f>TRIM(B126)</x:f>
        <x:v>Hoàng Gia Mai</x:v>
      </x:c>
      <x:c r="D126" s="15" t="str">
        <x:v>CNTT</x:v>
      </x:c>
      <x:c r="E126" s="15" t="str">
        <x:v>KH125</x:v>
      </x:c>
      <x:c r="F126" s="17" t="n">
        <x:v>9.1</x:v>
      </x:c>
      <x:c r="G126" s="15" t="str">
        <x:v>Website</x:v>
      </x:c>
      <x:c r="H126" s="15" t="str">
        <x:v>Đã xác nhận</x:v>
      </x:c>
    </x:row>
    <x:row r="127" ht="27" customHeight="1" hidden="1">
      <x:c r="A127" s="15" t="str">
        <x:v>SV126</x:v>
      </x:c>
      <x:c r="B127" s="15" t="str">
        <x:v>Vũ Gia Bình</x:v>
      </x:c>
      <x:c r="C127" s="15" t="str">
        <x:f>TRIM(B127)</x:f>
        <x:v>Vũ Gia Bình</x:v>
      </x:c>
      <x:c r="D127" s="15" t="str">
        <x:v>QTKD</x:v>
      </x:c>
      <x:c r="E127" s="15" t="str">
        <x:v>KH126</x:v>
      </x:c>
      <x:c r="F127" s="17" t="n">
        <x:v>9.8</x:v>
      </x:c>
      <x:c r="G127" s="15" t="str">
        <x:v>Google Form</x:v>
      </x:c>
      <x:c r="H127" s="15" t="str">
        <x:v>Đã xác nhận</x:v>
      </x:c>
    </x:row>
    <x:row r="128" ht="27" customHeight="1" hidden="1">
      <x:c r="A128" s="15" t="str">
        <x:v>SV127</x:v>
      </x:c>
      <x:c r="B128" s="15" t="str">
        <x:v>  Võ Gia Khang  </x:v>
      </x:c>
      <x:c r="C128" s="15" t="str">
        <x:f>TRIM(B128)</x:f>
        <x:v>Võ Gia Khang</x:v>
      </x:c>
      <x:c r="D128" s="15" t="str">
        <x:v>DTVT</x:v>
      </x:c>
      <x:c r="E128" s="15" t="str">
        <x:v>KH127</x:v>
      </x:c>
      <x:c r="F128" s="17" t="n">
        <x:v>0.4</x:v>
      </x:c>
      <x:c r="G128" s="15" t="str">
        <x:v>Facebook Ads</x:v>
      </x:c>
      <x:c r="H128" s="15" t="str">
        <x:v>Chờ xác nhận</x:v>
      </x:c>
    </x:row>
    <x:row r="129" ht="27" customHeight="1">
      <x:c r="A129" s="15" t="str">
        <x:v>SV128</x:v>
      </x:c>
      <x:c r="B129" s="15" t="str">
        <x:v>Đặng Gia Quân</x:v>
      </x:c>
      <x:c r="C129" s="15" t="str">
        <x:f>TRIM(B129)</x:f>
        <x:v>Đặng Gia Quân</x:v>
      </x:c>
      <x:c r="D129" s="15" t="str">
        <x:v>CNTT</x:v>
      </x:c>
      <x:c r="E129" s="15" t="str">
        <x:v>KH128</x:v>
      </x:c>
      <x:c r="F129" s="17" t="n">
        <x:v>1.1</x:v>
      </x:c>
      <x:c r="G129" s="15" t="str">
        <x:v>Zalo OA</x:v>
      </x:c>
      <x:c r="H129" s="15" t="str">
        <x:v>Đã xác nhận</x:v>
      </x:c>
    </x:row>
    <x:row r="130" ht="27" customHeight="1">
      <x:c r="A130" s="15" t="str">
        <x:v>SV129</x:v>
      </x:c>
      <x:c r="B130" s="15" t="str">
        <x:v>Bùi Gia Đức</x:v>
      </x:c>
      <x:c r="C130" s="15" t="str">
        <x:f>TRIM(B130)</x:f>
        <x:v>Bùi Gia Đức</x:v>
      </x:c>
      <x:c r="D130" s="15" t="str">
        <x:v>CNTT</x:v>
      </x:c>
      <x:c r="E130" s="15" t="str">
        <x:v>KH129</x:v>
      </x:c>
      <x:c r="F130" s="17" t="n">
        <x:v>1.8</x:v>
      </x:c>
      <x:c r="G130" s="15" t="str">
        <x:v>Website</x:v>
      </x:c>
      <x:c r="H130" s="15" t="str">
        <x:v>Đã xác nhận</x:v>
      </x:c>
    </x:row>
    <x:row r="131" ht="27" customHeight="1" hidden="1">
      <x:c r="A131" s="15" t="str">
        <x:v>SV130</x:v>
      </x:c>
      <x:c r="B131" s="15" t="str">
        <x:v>Đỗ Gia Phúc</x:v>
      </x:c>
      <x:c r="C131" s="15" t="str">
        <x:f>TRIM(B131)</x:f>
        <x:v>Đỗ Gia Phúc</x:v>
      </x:c>
      <x:c r="D131" s="15" t="str">
        <x:v>QTKD</x:v>
      </x:c>
      <x:c r="E131" s="15" t="str">
        <x:v>KH130</x:v>
      </x:c>
      <x:c r="F131" s="17" t="n">
        <x:v>2.5</x:v>
      </x:c>
      <x:c r="G131" s="15" t="str">
        <x:v>Google Form</x:v>
      </x:c>
      <x:c r="H131" s="15" t="str">
        <x:v>Đã xác nhận</x:v>
      </x:c>
    </x:row>
    <x:row r="132" ht="27" customHeight="1" hidden="1">
      <x:c r="A132" s="15" t="str">
        <x:v>SV131</x:v>
      </x:c>
      <x:c r="B132" s="15" t="str">
        <x:v>Hồ Gia Thảo</x:v>
      </x:c>
      <x:c r="C132" s="15" t="str">
        <x:f>TRIM(B132)</x:f>
        <x:v>Hồ Gia Thảo</x:v>
      </x:c>
      <x:c r="D132" s="15" t="str">
        <x:v>DTVT</x:v>
      </x:c>
      <x:c r="E132" s="15" t="str">
        <x:v>KH131</x:v>
      </x:c>
      <x:c r="F132" s="17" t="n">
        <x:v>3.2</x:v>
      </x:c>
      <x:c r="G132" s="15" t="str">
        <x:v>Facebook Ads</x:v>
      </x:c>
      <x:c r="H132" s="15" t="str">
        <x:v>Đã xác nhận</x:v>
      </x:c>
    </x:row>
    <x:row r="133" ht="27" customHeight="1">
      <x:c r="A133" s="15" t="str">
        <x:v>SV132</x:v>
      </x:c>
      <x:c r="B133" s="15" t="str">
        <x:v>Ngô Gia Hà</x:v>
      </x:c>
      <x:c r="C133" s="15" t="str">
        <x:f>TRIM(B133)</x:f>
        <x:v>Ngô Gia Hà</x:v>
      </x:c>
      <x:c r="D133" s="15" t="str">
        <x:v>CNTT</x:v>
      </x:c>
      <x:c r="E133" s="15" t="str">
        <x:v>KH132</x:v>
      </x:c>
      <x:c r="F133" s="17" t="n">
        <x:v>3.9</x:v>
      </x:c>
      <x:c r="G133" s="15" t="str">
        <x:v>Zalo OA</x:v>
      </x:c>
      <x:c r="H133" s="15" t="str">
        <x:v>Đã xác nhận</x:v>
      </x:c>
    </x:row>
    <x:row r="134" ht="27" customHeight="1">
      <x:c r="A134" s="15" t="str">
        <x:v>SV133</x:v>
      </x:c>
      <x:c r="B134" s="15" t="str">
        <x:v>Dương Gia   Anh</x:v>
      </x:c>
      <x:c r="C134" s="15" t="str">
        <x:f>TRIM(B134)</x:f>
        <x:v>Dương Gia Anh</x:v>
      </x:c>
      <x:c r="D134" s="15" t="str">
        <x:v>CNTT</x:v>
      </x:c>
      <x:c r="E134" s="15" t="str">
        <x:v>KH133</x:v>
      </x:c>
      <x:c r="F134" s="17" t="n">
        <x:v>4.6</x:v>
      </x:c>
      <x:c r="G134" s="15" t="str">
        <x:v>Website</x:v>
      </x:c>
      <x:c r="H134" s="15" t="str">
        <x:v>Chờ xác nhận</x:v>
      </x:c>
    </x:row>
    <x:row r="135" ht="27" customHeight="1" hidden="1">
      <x:c r="A135" s="15" t="str">
        <x:v>SV134</x:v>
      </x:c>
      <x:c r="B135" s="15" t="str">
        <x:v>  Lý Gia Tâm</x:v>
      </x:c>
      <x:c r="C135" s="15" t="str">
        <x:f>TRIM(B135)</x:f>
        <x:v>Lý Gia Tâm</x:v>
      </x:c>
      <x:c r="D135" s="15" t="str">
        <x:v>QTKD</x:v>
      </x:c>
      <x:c r="E135" s="15" t="str">
        <x:v>KH134</x:v>
      </x:c>
      <x:c r="F135" s="17" t="n">
        <x:v>5.3</x:v>
      </x:c>
      <x:c r="G135" s="15" t="str">
        <x:v>Google Form</x:v>
      </x:c>
      <x:c r="H135" s="15" t="str">
        <x:v>Đã xác nhận</x:v>
      </x:c>
    </x:row>
    <x:row r="136" ht="27" customHeight="1" hidden="1">
      <x:c r="A136" s="15" t="str">
        <x:v>SV135</x:v>
      </x:c>
      <x:c r="B136" s="15" t="str">
        <x:v>Đinh Gia Nam</x:v>
      </x:c>
      <x:c r="C136" s="15" t="str">
        <x:f>TRIM(B136)</x:f>
        <x:v>Đinh Gia Nam</x:v>
      </x:c>
      <x:c r="D136" s="15" t="str">
        <x:v>DTVT</x:v>
      </x:c>
      <x:c r="E136" s="15" t="str">
        <x:v>KH135</x:v>
      </x:c>
      <x:c r="F136" s="17" t="n">
        <x:v>6</x:v>
      </x:c>
      <x:c r="G136" s="15" t="str">
        <x:v>Facebook Ads</x:v>
      </x:c>
      <x:c r="H136" s="15" t="str">
        <x:v>Đã xác nhận</x:v>
      </x:c>
    </x:row>
    <x:row r="137" ht="27" customHeight="1">
      <x:c r="A137" s="15" t="str">
        <x:v>SV136</x:v>
      </x:c>
      <x:c r="B137" s="15" t="str">
        <x:v>Phan Gia Trang  </x:v>
      </x:c>
      <x:c r="C137" s="15" t="str">
        <x:f>TRIM(B137)</x:f>
        <x:v>Phan Gia Trang</x:v>
      </x:c>
      <x:c r="D137" s="15" t="str">
        <x:v>CNTT</x:v>
      </x:c>
      <x:c r="E137" s="15" t="str">
        <x:v>KH136</x:v>
      </x:c>
      <x:c r="F137" s="17" t="n">
        <x:v>6.7</x:v>
      </x:c>
      <x:c r="G137" s="15" t="str">
        <x:v>Zalo OA</x:v>
      </x:c>
      <x:c r="H137" s="15" t="str">
        <x:v>Đã xác nhận</x:v>
      </x:c>
    </x:row>
    <x:row r="138" ht="27" customHeight="1" hidden="1">
      <x:c r="A138" s="15" t="str">
        <x:v>SV137</x:v>
      </x:c>
      <x:c r="B138" s="15" t="str">
        <x:v>Mai Gia Kiệt</x:v>
      </x:c>
      <x:c r="C138" s="15" t="str">
        <x:f>TRIM(B138)</x:f>
        <x:v>Mai Gia Kiệt</x:v>
      </x:c>
      <x:c r="D138" s="15" t="str">
        <x:v>CNTT</x:v>
      </x:c>
      <x:c r="E138" s="15" t="str">
        <x:v>KH137</x:v>
      </x:c>
      <x:c r="F138" s="17" t="n">
        <x:v>7.4</x:v>
      </x:c>
      <x:c r="G138" s="15" t="str">
        <x:v>Website</x:v>
      </x:c>
      <x:c r="H138" s="15" t="str">
        <x:v>Đã xác nhận</x:v>
      </x:c>
    </x:row>
    <x:row r="139" ht="27" customHeight="1" hidden="1">
      <x:c r="A139" s="15" t="str">
        <x:v>SV138</x:v>
      </x:c>
      <x:c r="B139" s="15" t="str">
        <x:v>Đào Gia Linh</x:v>
      </x:c>
      <x:c r="C139" s="15" t="str">
        <x:f>TRIM(B139)</x:f>
        <x:v>Đào Gia Linh</x:v>
      </x:c>
      <x:c r="D139" s="15" t="str">
        <x:v>QTKD</x:v>
      </x:c>
      <x:c r="E139" s="15" t="str">
        <x:v>KH138</x:v>
      </x:c>
      <x:c r="F139" s="17" t="n">
        <x:v>8.1</x:v>
      </x:c>
      <x:c r="G139" s="15" t="str">
        <x:v>Google Form</x:v>
      </x:c>
      <x:c r="H139" s="15" t="str">
        <x:v>Đã xác nhận</x:v>
      </x:c>
    </x:row>
    <x:row r="140" ht="27" customHeight="1" hidden="1">
      <x:c r="A140" s="15" t="str">
        <x:v>SV139</x:v>
      </x:c>
      <x:c r="B140" s="15" t="str">
        <x:v>Cao Gia Nhân</x:v>
      </x:c>
      <x:c r="C140" s="15" t="str">
        <x:f>TRIM(B140)</x:f>
        <x:v>Cao Gia Nhân</x:v>
      </x:c>
      <x:c r="D140" s="15" t="str">
        <x:v>DTVT</x:v>
      </x:c>
      <x:c r="E140" s="15" t="str">
        <x:v>KH139</x:v>
      </x:c>
      <x:c r="F140" s="17" t="n">
        <x:v>8.8</x:v>
      </x:c>
      <x:c r="G140" s="15" t="str">
        <x:v>Facebook Ads</x:v>
      </x:c>
      <x:c r="H140" s="15" t="str">
        <x:v>Chờ xác nhận</x:v>
      </x:c>
    </x:row>
    <x:row r="141" ht="27" customHeight="1" hidden="1">
      <x:c r="A141" s="15" t="str">
        <x:v>SV140</x:v>
      </x:c>
      <x:c r="B141" s="15" t="str">
        <x:v>Tạ Gia Yến</x:v>
      </x:c>
      <x:c r="C141" s="15" t="str">
        <x:f>TRIM(B141)</x:f>
        <x:v>Tạ Gia Yến</x:v>
      </x:c>
      <x:c r="D141" s="15" t="str">
        <x:v>CNTT</x:v>
      </x:c>
      <x:c r="E141" s="15" t="str">
        <x:v>KH140</x:v>
      </x:c>
      <x:c r="F141" s="17" t="n">
        <x:v>9.5</x:v>
      </x:c>
      <x:c r="G141" s="15" t="str">
        <x:v>Zalo OA</x:v>
      </x:c>
      <x:c r="H141" s="15" t="str">
        <x:v>Đã xác nhận</x:v>
      </x:c>
    </x:row>
    <x:row r="142" ht="27" customHeight="1">
      <x:c r="A142" s="15" t="str">
        <x:v>SV141</x:v>
      </x:c>
      <x:c r="B142" s="15" t="str">
        <x:v>  Nguyễn Hoài Vy</x:v>
      </x:c>
      <x:c r="C142" s="15" t="str">
        <x:f>TRIM(B142)</x:f>
        <x:v>Nguyễn Hoài Vy</x:v>
      </x:c>
      <x:c r="D142" s="15" t="str">
        <x:v>CNTT</x:v>
      </x:c>
      <x:c r="E142" s="15" t="str">
        <x:v>KH141</x:v>
      </x:c>
      <x:c r="F142" s="17" t="n">
        <x:v>0.1</x:v>
      </x:c>
      <x:c r="G142" s="15" t="str">
        <x:v>Website</x:v>
      </x:c>
      <x:c r="H142" s="15" t="str">
        <x:v>Đã xác nhận</x:v>
      </x:c>
    </x:row>
    <x:row r="143" ht="27" customHeight="1" hidden="1">
      <x:c r="A143" s="15" t="str">
        <x:v>SV142</x:v>
      </x:c>
      <x:c r="B143" s="15" t="str">
        <x:v>Trần Hoài Mai</x:v>
      </x:c>
      <x:c r="C143" s="15" t="str">
        <x:f>TRIM(B143)</x:f>
        <x:v>Trần Hoài Mai</x:v>
      </x:c>
      <x:c r="D143" s="15" t="str">
        <x:v>QTKD</x:v>
      </x:c>
      <x:c r="E143" s="15" t="str">
        <x:v>KH142</x:v>
      </x:c>
      <x:c r="F143" s="17" t="n">
        <x:v>0.8</x:v>
      </x:c>
      <x:c r="G143" s="15" t="str">
        <x:v>Google Form</x:v>
      </x:c>
      <x:c r="H143" s="15" t="str">
        <x:v>Đã xác nhận</x:v>
      </x:c>
    </x:row>
    <x:row r="144" ht="27" customHeight="1" hidden="1">
      <x:c r="A144" s="15" t="str">
        <x:v>SV143</x:v>
      </x:c>
      <x:c r="B144" s="15" t="str">
        <x:v>Lê Hoài Bình</x:v>
      </x:c>
      <x:c r="C144" s="15" t="str">
        <x:f>TRIM(B144)</x:f>
        <x:v>Lê Hoài Bình</x:v>
      </x:c>
      <x:c r="D144" s="15" t="str">
        <x:v>DTVT</x:v>
      </x:c>
      <x:c r="E144" s="15" t="str">
        <x:v>KH143</x:v>
      </x:c>
      <x:c r="F144" s="17" t="n">
        <x:v>1.5</x:v>
      </x:c>
      <x:c r="G144" s="15" t="str">
        <x:v>Facebook Ads</x:v>
      </x:c>
      <x:c r="H144" s="15" t="str">
        <x:v>Đã xác nhận</x:v>
      </x:c>
    </x:row>
    <x:row r="145" ht="27" customHeight="1">
      <x:c r="A145" s="15" t="str">
        <x:v>SV144</x:v>
      </x:c>
      <x:c r="B145" s="15" t="str">
        <x:v>Phạm Hoài   Khang</x:v>
      </x:c>
      <x:c r="C145" s="15" t="str">
        <x:f>TRIM(B145)</x:f>
        <x:v>Phạm Hoài Khang</x:v>
      </x:c>
      <x:c r="D145" s="15" t="str">
        <x:v>CNTT</x:v>
      </x:c>
      <x:c r="E145" s="15" t="str">
        <x:v>KH144</x:v>
      </x:c>
      <x:c r="F145" s="17" t="n">
        <x:v>2.2</x:v>
      </x:c>
      <x:c r="G145" s="15" t="str">
        <x:v>Zalo OA</x:v>
      </x:c>
      <x:c r="H145" s="15" t="str">
        <x:v>Đã xác nhận</x:v>
      </x:c>
    </x:row>
    <x:row r="146" ht="27" customHeight="1">
      <x:c r="A146" s="15" t="str">
        <x:v>SV145</x:v>
      </x:c>
      <x:c r="B146" s="15" t="str">
        <x:v>Hoàng Hoài Quân  </x:v>
      </x:c>
      <x:c r="C146" s="15" t="str">
        <x:f>TRIM(B146)</x:f>
        <x:v>Hoàng Hoài Quân</x:v>
      </x:c>
      <x:c r="D146" s="15" t="str">
        <x:v>CNTT</x:v>
      </x:c>
      <x:c r="E146" s="15" t="str">
        <x:v>KH145</x:v>
      </x:c>
      <x:c r="F146" s="17" t="n">
        <x:v>2.9</x:v>
      </x:c>
      <x:c r="G146" s="15" t="str">
        <x:v>Website</x:v>
      </x:c>
      <x:c r="H146" s="15" t="str">
        <x:v>Chờ xác nhận</x:v>
      </x:c>
    </x:row>
    <x:row r="147" ht="27" customHeight="1" hidden="1">
      <x:c r="A147" s="15" t="str">
        <x:v>SV146</x:v>
      </x:c>
      <x:c r="B147" s="15" t="str">
        <x:v>Vũ Hoài Đức</x:v>
      </x:c>
      <x:c r="C147" s="15" t="str">
        <x:f>TRIM(B147)</x:f>
        <x:v>Vũ Hoài Đức</x:v>
      </x:c>
      <x:c r="D147" s="15" t="str">
        <x:v>QTKD</x:v>
      </x:c>
      <x:c r="E147" s="15" t="str">
        <x:v>KH146</x:v>
      </x:c>
      <x:c r="F147" s="17" t="n">
        <x:v>3.6</x:v>
      </x:c>
      <x:c r="G147" s="15" t="str">
        <x:v>Google Form</x:v>
      </x:c>
      <x:c r="H147" s="15" t="str">
        <x:v>Đã xác nhận</x:v>
      </x:c>
    </x:row>
    <x:row r="148" ht="27" customHeight="1" hidden="1">
      <x:c r="A148" s="15" t="str">
        <x:v>SV147</x:v>
      </x:c>
      <x:c r="B148" s="15" t="str">
        <x:v>Võ Hoài Phúc</x:v>
      </x:c>
      <x:c r="C148" s="15" t="str">
        <x:f>TRIM(B148)</x:f>
        <x:v>Võ Hoài Phúc</x:v>
      </x:c>
      <x:c r="D148" s="15" t="str">
        <x:v>DTVT</x:v>
      </x:c>
      <x:c r="E148" s="15" t="str">
        <x:v>KH147</x:v>
      </x:c>
      <x:c r="F148" s="17" t="n">
        <x:v>4.3</x:v>
      </x:c>
      <x:c r="G148" s="15" t="str">
        <x:v>Facebook Ads</x:v>
      </x:c>
      <x:c r="H148" s="15" t="str">
        <x:v>Đã xác nhận</x:v>
      </x:c>
    </x:row>
    <x:row r="149" ht="27" customHeight="1">
      <x:c r="A149" s="15" t="str">
        <x:v>SV148</x:v>
      </x:c>
      <x:c r="B149" s="15" t="str">
        <x:v>  Đặng Hoài Thảo</x:v>
      </x:c>
      <x:c r="C149" s="15" t="str">
        <x:f>TRIM(B149)</x:f>
        <x:v>Đặng Hoài Thảo</x:v>
      </x:c>
      <x:c r="D149" s="15" t="str">
        <x:v>CNTT</x:v>
      </x:c>
      <x:c r="E149" s="15" t="str">
        <x:v>KH148</x:v>
      </x:c>
      <x:c r="F149" s="17" t="n">
        <x:v>5</x:v>
      </x:c>
      <x:c r="G149" s="15" t="str">
        <x:v>Zalo OA</x:v>
      </x:c>
      <x:c r="H149" s="15" t="str">
        <x:v>Đã xác nhận</x:v>
      </x:c>
    </x:row>
    <x:row r="150" ht="27" customHeight="1">
      <x:c r="A150" s="15" t="str">
        <x:v>SV149</x:v>
      </x:c>
      <x:c r="B150" s="15" t="str">
        <x:v>Bùi Hoài Hà</x:v>
      </x:c>
      <x:c r="C150" s="15" t="str">
        <x:f>TRIM(B150)</x:f>
        <x:v>Bùi Hoài Hà</x:v>
      </x:c>
      <x:c r="D150" s="15" t="str">
        <x:v>CNTT</x:v>
      </x:c>
      <x:c r="E150" s="15" t="str">
        <x:v>KH149</x:v>
      </x:c>
      <x:c r="F150" s="17" t="n">
        <x:v>5.7</x:v>
      </x:c>
      <x:c r="G150" s="15" t="str">
        <x:v>Website</x:v>
      </x:c>
      <x:c r="H150" s="15" t="str">
        <x:v>Đã xác nhận</x:v>
      </x:c>
    </x:row>
    <x:row r="151" ht="27" customHeight="1" hidden="1">
      <x:c r="A151" s="15" t="str">
        <x:v>SV150</x:v>
      </x:c>
      <x:c r="B151" s="15" t="str">
        <x:v>Đỗ Hoài Anh</x:v>
      </x:c>
      <x:c r="C151" s="15" t="str">
        <x:f>TRIM(B151)</x:f>
        <x:v>Đỗ Hoài Anh</x:v>
      </x:c>
      <x:c r="D151" s="15" t="str">
        <x:v>QTKD</x:v>
      </x:c>
      <x:c r="E151" s="15" t="str">
        <x:v>KH150</x:v>
      </x:c>
      <x:c r="F151" s="17" t="n">
        <x:v>6.4</x:v>
      </x:c>
      <x:c r="G151" s="15" t="str">
        <x:v>Google Form</x:v>
      </x:c>
      <x:c r="H151" s="15" t="str">
        <x:v>Đã xác nhận</x:v>
      </x:c>
    </x:row>
    <x:row r="152" ht="27" customHeight="1" hidden="1">
      <x:c r="A152" s="15" t="str">
        <x:v>SV151</x:v>
      </x:c>
      <x:c r="B152" s="15" t="str">
        <x:v>Hồ Hoài Tâm</x:v>
      </x:c>
      <x:c r="C152" s="15" t="str">
        <x:f>TRIM(B152)</x:f>
        <x:v>Hồ Hoài Tâm</x:v>
      </x:c>
      <x:c r="D152" s="15" t="str">
        <x:v>DTVT</x:v>
      </x:c>
      <x:c r="E152" s="15" t="str">
        <x:v>KH151</x:v>
      </x:c>
      <x:c r="F152" s="17" t="n">
        <x:v>7.1</x:v>
      </x:c>
      <x:c r="G152" s="15" t="str">
        <x:v>Facebook Ads</x:v>
      </x:c>
      <x:c r="H152" s="15" t="str">
        <x:v>Chờ xác nhận</x:v>
      </x:c>
    </x:row>
    <x:row r="153" ht="27" customHeight="1" hidden="1">
      <x:c r="A153" s="15" t="str">
        <x:v>SV152</x:v>
      </x:c>
      <x:c r="B153" s="15" t="str">
        <x:v>Ngô Hoài Nam</x:v>
      </x:c>
      <x:c r="C153" s="15" t="str">
        <x:f>TRIM(B153)</x:f>
        <x:v>Ngô Hoài Nam</x:v>
      </x:c>
      <x:c r="D153" s="15" t="str">
        <x:v>CNTT</x:v>
      </x:c>
      <x:c r="E153" s="15" t="str">
        <x:v>KH152</x:v>
      </x:c>
      <x:c r="F153" s="17" t="n">
        <x:v>7.8</x:v>
      </x:c>
      <x:c r="G153" s="15" t="str">
        <x:v>Zalo OA</x:v>
      </x:c>
      <x:c r="H153" s="15" t="str">
        <x:v>Đã xác nhận</x:v>
      </x:c>
    </x:row>
    <x:row r="154" ht="27" customHeight="1" hidden="1">
      <x:c r="A154" s="15" t="str">
        <x:v>SV153</x:v>
      </x:c>
      <x:c r="B154" s="15" t="str">
        <x:v>Dương Hoài Trang</x:v>
      </x:c>
      <x:c r="C154" s="15" t="str">
        <x:f>TRIM(B154)</x:f>
        <x:v>Dương Hoài Trang</x:v>
      </x:c>
      <x:c r="D154" s="15" t="str">
        <x:v>CNTT</x:v>
      </x:c>
      <x:c r="E154" s="15" t="str">
        <x:v>KH153</x:v>
      </x:c>
      <x:c r="F154" s="17" t="n">
        <x:v>8.5</x:v>
      </x:c>
      <x:c r="G154" s="15" t="str">
        <x:v>Website</x:v>
      </x:c>
      <x:c r="H154" s="15" t="str">
        <x:v>Đã xác nhận</x:v>
      </x:c>
    </x:row>
    <x:row r="155" ht="27" customHeight="1" hidden="1">
      <x:c r="A155" s="15" t="str">
        <x:v>SV154</x:v>
      </x:c>
      <x:c r="B155" s="15" t="str">
        <x:v>Lý Hoài Kiệt  </x:v>
      </x:c>
      <x:c r="C155" s="15" t="str">
        <x:f>TRIM(B155)</x:f>
        <x:v>Lý Hoài Kiệt</x:v>
      </x:c>
      <x:c r="D155" s="15" t="str">
        <x:v>QTKD</x:v>
      </x:c>
      <x:c r="E155" s="15" t="str">
        <x:v>KH154</x:v>
      </x:c>
      <x:c r="F155" s="17" t="n">
        <x:v>9.2</x:v>
      </x:c>
      <x:c r="G155" s="15" t="str">
        <x:v>Google Form</x:v>
      </x:c>
      <x:c r="H155" s="15" t="str">
        <x:v>Đã xác nhận</x:v>
      </x:c>
    </x:row>
    <x:row r="156" ht="27" customHeight="1" hidden="1">
      <x:c r="A156" s="15" t="str">
        <x:v>SV155</x:v>
      </x:c>
      <x:c r="B156" s="15" t="str">
        <x:v>  Đinh Hoài   Linh</x:v>
      </x:c>
      <x:c r="C156" s="15" t="str">
        <x:f>TRIM(B156)</x:f>
        <x:v>Đinh Hoài Linh</x:v>
      </x:c>
      <x:c r="D156" s="15" t="str">
        <x:v>DTVT</x:v>
      </x:c>
      <x:c r="E156" s="15" t="str">
        <x:v>KH155</x:v>
      </x:c>
      <x:c r="F156" s="17" t="n">
        <x:v>9.9</x:v>
      </x:c>
      <x:c r="G156" s="15" t="str">
        <x:v>Facebook Ads</x:v>
      </x:c>
      <x:c r="H156" s="15" t="str">
        <x:v>Đã xác nhận</x:v>
      </x:c>
    </x:row>
    <x:row r="157" ht="27" customHeight="1">
      <x:c r="A157" s="15" t="str">
        <x:v>SV156</x:v>
      </x:c>
      <x:c r="B157" s="15" t="str">
        <x:v>Phan Hoài Nhân</x:v>
      </x:c>
      <x:c r="C157" s="15" t="str">
        <x:f>TRIM(B157)</x:f>
        <x:v>Phan Hoài Nhân</x:v>
      </x:c>
      <x:c r="D157" s="15" t="str">
        <x:v>CNTT</x:v>
      </x:c>
      <x:c r="E157" s="15" t="str">
        <x:v>KH156</x:v>
      </x:c>
      <x:c r="F157" s="17" t="n">
        <x:v>0.5</x:v>
      </x:c>
      <x:c r="G157" s="15" t="str">
        <x:v>Zalo OA</x:v>
      </x:c>
      <x:c r="H157" s="15" t="str">
        <x:v>Đã xác nhận</x:v>
      </x:c>
    </x:row>
    <x:row r="158" ht="27" customHeight="1">
      <x:c r="A158" s="15" t="str">
        <x:v>SV157</x:v>
      </x:c>
      <x:c r="B158" s="15" t="str">
        <x:v>Mai Hoài Yến</x:v>
      </x:c>
      <x:c r="C158" s="15" t="str">
        <x:f>TRIM(B158)</x:f>
        <x:v>Mai Hoài Yến</x:v>
      </x:c>
      <x:c r="D158" s="15" t="str">
        <x:v>CNTT</x:v>
      </x:c>
      <x:c r="E158" s="15" t="str">
        <x:v>KH157</x:v>
      </x:c>
      <x:c r="F158" s="17" t="n">
        <x:v>1.2</x:v>
      </x:c>
      <x:c r="G158" s="15" t="str">
        <x:v>Website</x:v>
      </x:c>
      <x:c r="H158" s="15" t="str">
        <x:v>Chờ xác nhận</x:v>
      </x:c>
    </x:row>
    <x:row r="159" ht="27" customHeight="1" hidden="1">
      <x:c r="A159" s="15" t="str">
        <x:v>SV158</x:v>
      </x:c>
      <x:c r="B159" s="15" t="str">
        <x:v>Đào Hoài Huy</x:v>
      </x:c>
      <x:c r="C159" s="15" t="str">
        <x:f>TRIM(B159)</x:f>
        <x:v>Đào Hoài Huy</x:v>
      </x:c>
      <x:c r="D159" s="15" t="str">
        <x:v>QTKD</x:v>
      </x:c>
      <x:c r="E159" s="15" t="str">
        <x:v>KH158</x:v>
      </x:c>
      <x:c r="F159" s="17" t="n">
        <x:v>1.9</x:v>
      </x:c>
      <x:c r="G159" s="15" t="str">
        <x:v>Google Form</x:v>
      </x:c>
      <x:c r="H159" s="15" t="str">
        <x:v>Đã xác nhận</x:v>
      </x:c>
    </x:row>
    <x:row r="160" ht="27" customHeight="1" hidden="1">
      <x:c r="A160" s="15" t="str">
        <x:v>SV159</x:v>
      </x:c>
      <x:c r="B160" s="15" t="str">
        <x:v>Cao Hoài Long</x:v>
      </x:c>
      <x:c r="C160" s="15" t="str">
        <x:f>TRIM(B160)</x:f>
        <x:v>Cao Hoài Long</x:v>
      </x:c>
      <x:c r="D160" s="15" t="str">
        <x:v>DTVT</x:v>
      </x:c>
      <x:c r="E160" s="15" t="str">
        <x:v>KH159</x:v>
      </x:c>
      <x:c r="F160" s="17" t="n">
        <x:v>2.6</x:v>
      </x:c>
      <x:c r="G160" s="15" t="str">
        <x:v>Facebook Ads</x:v>
      </x:c>
      <x:c r="H160" s="15" t="str">
        <x:v>Đã xác nhận</x:v>
      </x:c>
    </x:row>
    <x:row r="161" ht="27" customHeight="1">
      <x:c r="A161" s="15" t="str">
        <x:v>SV160</x:v>
      </x:c>
      <x:c r="B161" s="15" t="str">
        <x:v>Tạ Hoài An</x:v>
      </x:c>
      <x:c r="C161" s="15" t="str">
        <x:f>TRIM(B161)</x:f>
        <x:v>Tạ Hoài An</x:v>
      </x:c>
      <x:c r="D161" s="15" t="str">
        <x:v>CNTT</x:v>
      </x:c>
      <x:c r="E161" s="15" t="str">
        <x:v>KH160</x:v>
      </x:c>
      <x:c r="F161" s="17" t="n">
        <x:v>3.3</x:v>
      </x:c>
      <x:c r="G161" s="15" t="str">
        <x:v>Zalo OA</x:v>
      </x:c>
      <x:c r="H161" s="15" t="str">
        <x:v>Đã xác nhận</x:v>
      </x:c>
    </x:row>
    <x:row r="162" ht="27" customHeight="1">
      <x:c r="A162" s="15" t="str">
        <x:v>SV161</x:v>
      </x:c>
      <x:c r="B162" s="15" t="str">
        <x:v>Nguyễn Khánh Khang</x:v>
      </x:c>
      <x:c r="C162" s="15" t="str">
        <x:f>TRIM(B162)</x:f>
        <x:v>Nguyễn Khánh Khang</x:v>
      </x:c>
      <x:c r="D162" s="15" t="str">
        <x:v>CNTT</x:v>
      </x:c>
      <x:c r="E162" s="15" t="str">
        <x:v>KH161</x:v>
      </x:c>
      <x:c r="F162" s="17" t="n">
        <x:v>4</x:v>
      </x:c>
      <x:c r="G162" s="15" t="str">
        <x:v>Website</x:v>
      </x:c>
      <x:c r="H162" s="15" t="str">
        <x:v>Đã xác nhận</x:v>
      </x:c>
    </x:row>
    <x:row r="163" ht="27" customHeight="1" hidden="1">
      <x:c r="A163" s="15" t="str">
        <x:v>SV162</x:v>
      </x:c>
      <x:c r="B163" s="15" t="str">
        <x:v>  Trần Khánh Quân</x:v>
      </x:c>
      <x:c r="C163" s="15" t="str">
        <x:f>TRIM(B163)</x:f>
        <x:v>Trần Khánh Quân</x:v>
      </x:c>
      <x:c r="D163" s="15" t="str">
        <x:v>QTKD</x:v>
      </x:c>
      <x:c r="E163" s="15" t="str">
        <x:v>KH162</x:v>
      </x:c>
      <x:c r="F163" s="17" t="n">
        <x:v>4.7</x:v>
      </x:c>
      <x:c r="G163" s="15" t="str">
        <x:v>Google Form</x:v>
      </x:c>
      <x:c r="H163" s="15" t="str">
        <x:v>Đã xác nhận</x:v>
      </x:c>
    </x:row>
    <x:row r="164" ht="27" customHeight="1" hidden="1">
      <x:c r="A164" s="15" t="str">
        <x:v>SV163</x:v>
      </x:c>
      <x:c r="B164" s="15" t="str">
        <x:v>Lê Khánh Đức  </x:v>
      </x:c>
      <x:c r="C164" s="15" t="str">
        <x:f>TRIM(B164)</x:f>
        <x:v>Lê Khánh Đức</x:v>
      </x:c>
      <x:c r="D164" s="15" t="str">
        <x:v>DTVT</x:v>
      </x:c>
      <x:c r="E164" s="15" t="str">
        <x:v>KH163</x:v>
      </x:c>
      <x:c r="F164" s="17" t="n">
        <x:v>5.4</x:v>
      </x:c>
      <x:c r="G164" s="15" t="str">
        <x:v>Facebook Ads</x:v>
      </x:c>
      <x:c r="H164" s="15" t="str">
        <x:v>Chờ xác nhận</x:v>
      </x:c>
    </x:row>
    <x:row r="165" ht="27" customHeight="1">
      <x:c r="A165" s="15" t="str">
        <x:v>SV164</x:v>
      </x:c>
      <x:c r="B165" s="15" t="str">
        <x:v>Phạm Khánh Phúc</x:v>
      </x:c>
      <x:c r="C165" s="15" t="str">
        <x:f>TRIM(B165)</x:f>
        <x:v>Phạm Khánh Phúc</x:v>
      </x:c>
      <x:c r="D165" s="15" t="str">
        <x:v>CNTT</x:v>
      </x:c>
      <x:c r="E165" s="15" t="str">
        <x:v>KH164</x:v>
      </x:c>
      <x:c r="F165" s="17" t="n">
        <x:v>6.1</x:v>
      </x:c>
      <x:c r="G165" s="15" t="str">
        <x:v>Zalo OA</x:v>
      </x:c>
      <x:c r="H165" s="15" t="str">
        <x:v>Đã xác nhận</x:v>
      </x:c>
    </x:row>
    <x:row r="166" ht="27" customHeight="1">
      <x:c r="A166" s="15" t="str">
        <x:v>SV165</x:v>
      </x:c>
      <x:c r="B166" s="15" t="str">
        <x:v>Hoàng Khánh Thảo</x:v>
      </x:c>
      <x:c r="C166" s="15" t="str">
        <x:f>TRIM(B166)</x:f>
        <x:v>Hoàng Khánh Thảo</x:v>
      </x:c>
      <x:c r="D166" s="15" t="str">
        <x:v>CNTT</x:v>
      </x:c>
      <x:c r="E166" s="15" t="str">
        <x:v>KH165</x:v>
      </x:c>
      <x:c r="F166" s="17" t="n">
        <x:v>6.8</x:v>
      </x:c>
      <x:c r="G166" s="15" t="str">
        <x:v>Website</x:v>
      </x:c>
      <x:c r="H166" s="15" t="str">
        <x:v>Đã xác nhận</x:v>
      </x:c>
    </x:row>
    <x:row r="167" ht="27" customHeight="1" hidden="1">
      <x:c r="A167" s="15" t="str">
        <x:v>SV166</x:v>
      </x:c>
      <x:c r="B167" s="15" t="str">
        <x:v>Vũ Khánh   Hà</x:v>
      </x:c>
      <x:c r="C167" s="15" t="str">
        <x:f>TRIM(B167)</x:f>
        <x:v>Vũ Khánh Hà</x:v>
      </x:c>
      <x:c r="D167" s="15" t="str">
        <x:v>QTKD</x:v>
      </x:c>
      <x:c r="E167" s="15" t="str">
        <x:v>KH166</x:v>
      </x:c>
      <x:c r="F167" s="17" t="n">
        <x:v>7.5</x:v>
      </x:c>
      <x:c r="G167" s="15" t="str">
        <x:v>Google Form</x:v>
      </x:c>
      <x:c r="H167" s="15" t="str">
        <x:v>Đã xác nhận</x:v>
      </x:c>
    </x:row>
    <x:row r="168" ht="27" customHeight="1" hidden="1">
      <x:c r="A168" s="15" t="str">
        <x:v>SV167</x:v>
      </x:c>
      <x:c r="B168" s="15" t="str">
        <x:v>Võ Khánh Anh</x:v>
      </x:c>
      <x:c r="C168" s="15" t="str">
        <x:f>TRIM(B168)</x:f>
        <x:v>Võ Khánh Anh</x:v>
      </x:c>
      <x:c r="D168" s="15" t="str">
        <x:v>DTVT</x:v>
      </x:c>
      <x:c r="E168" s="15" t="str">
        <x:v>KH167</x:v>
      </x:c>
      <x:c r="F168" s="17" t="n">
        <x:v>8.2</x:v>
      </x:c>
      <x:c r="G168" s="15" t="str">
        <x:v>Facebook Ads</x:v>
      </x:c>
      <x:c r="H168" s="15" t="str">
        <x:v>Đã xác nhận</x:v>
      </x:c>
    </x:row>
    <x:row r="169" ht="27" customHeight="1" hidden="1">
      <x:c r="A169" s="15" t="str">
        <x:v>SV168</x:v>
      </x:c>
      <x:c r="B169" s="15" t="str">
        <x:v>Đặng Khánh Tâm</x:v>
      </x:c>
      <x:c r="C169" s="15" t="str">
        <x:f>TRIM(B169)</x:f>
        <x:v>Đặng Khánh Tâm</x:v>
      </x:c>
      <x:c r="D169" s="15" t="str">
        <x:v>CNTT</x:v>
      </x:c>
      <x:c r="E169" s="15" t="str">
        <x:v>KH168</x:v>
      </x:c>
      <x:c r="F169" s="17" t="n">
        <x:v>8.9</x:v>
      </x:c>
      <x:c r="G169" s="15" t="str">
        <x:v>Zalo OA</x:v>
      </x:c>
      <x:c r="H169" s="15" t="str">
        <x:v>Đã xác nhận</x:v>
      </x:c>
    </x:row>
    <x:row r="170" ht="27" customHeight="1" hidden="1">
      <x:c r="A170" s="15" t="str">
        <x:v>SV169</x:v>
      </x:c>
      <x:c r="B170" s="15" t="str">
        <x:v>  Bùi Khánh Nam</x:v>
      </x:c>
      <x:c r="C170" s="15" t="str">
        <x:f>TRIM(B170)</x:f>
        <x:v>Bùi Khánh Nam</x:v>
      </x:c>
      <x:c r="D170" s="15" t="str">
        <x:v>CNTT</x:v>
      </x:c>
      <x:c r="E170" s="15" t="str">
        <x:v>KH169</x:v>
      </x:c>
      <x:c r="F170" s="17" t="n">
        <x:v>9.6</x:v>
      </x:c>
      <x:c r="G170" s="15" t="str">
        <x:v>Website</x:v>
      </x:c>
      <x:c r="H170" s="15" t="str">
        <x:v>Chờ xác nhận</x:v>
      </x:c>
    </x:row>
    <x:row r="171" ht="27" customHeight="1" hidden="1">
      <x:c r="A171" s="15" t="str">
        <x:v>SV170</x:v>
      </x:c>
      <x:c r="B171" s="15" t="str">
        <x:v>Đỗ Khánh Trang</x:v>
      </x:c>
      <x:c r="C171" s="15" t="str">
        <x:f>TRIM(B171)</x:f>
        <x:v>Đỗ Khánh Trang</x:v>
      </x:c>
      <x:c r="D171" s="15" t="str">
        <x:v>QTKD</x:v>
      </x:c>
      <x:c r="E171" s="15" t="str">
        <x:v>KH170</x:v>
      </x:c>
      <x:c r="F171" s="17" t="n">
        <x:v>0.2</x:v>
      </x:c>
      <x:c r="G171" s="15" t="str">
        <x:v>Google Form</x:v>
      </x:c>
      <x:c r="H171" s="15" t="str">
        <x:v>Đã xác nhận</x:v>
      </x:c>
    </x:row>
    <x:row r="172" ht="27" customHeight="1" hidden="1">
      <x:c r="A172" s="15" t="str">
        <x:v>SV171</x:v>
      </x:c>
      <x:c r="B172" s="15" t="str">
        <x:v>Hồ Khánh Kiệt</x:v>
      </x:c>
      <x:c r="C172" s="15" t="str">
        <x:f>TRIM(B172)</x:f>
        <x:v>Hồ Khánh Kiệt</x:v>
      </x:c>
      <x:c r="D172" s="15" t="str">
        <x:v>DTVT</x:v>
      </x:c>
      <x:c r="E172" s="15" t="str">
        <x:v>KH171</x:v>
      </x:c>
      <x:c r="F172" s="17" t="n">
        <x:v>0.9</x:v>
      </x:c>
      <x:c r="G172" s="15" t="str">
        <x:v>Facebook Ads</x:v>
      </x:c>
      <x:c r="H172" s="15" t="str">
        <x:v>Đã xác nhận</x:v>
      </x:c>
    </x:row>
    <x:row r="173" ht="27" customHeight="1">
      <x:c r="A173" s="15" t="str">
        <x:v>SV172</x:v>
      </x:c>
      <x:c r="B173" s="15" t="str">
        <x:v>Ngô Khánh Linh  </x:v>
      </x:c>
      <x:c r="C173" s="15" t="str">
        <x:f>TRIM(B173)</x:f>
        <x:v>Ngô Khánh Linh</x:v>
      </x:c>
      <x:c r="D173" s="15" t="str">
        <x:v>CNTT</x:v>
      </x:c>
      <x:c r="E173" s="15" t="str">
        <x:v>KH172</x:v>
      </x:c>
      <x:c r="F173" s="17" t="n">
        <x:v>1.6</x:v>
      </x:c>
      <x:c r="G173" s="15" t="str">
        <x:v>Zalo OA</x:v>
      </x:c>
      <x:c r="H173" s="15" t="str">
        <x:v>Đã xác nhận</x:v>
      </x:c>
    </x:row>
    <x:row r="174" ht="27" customHeight="1">
      <x:c r="A174" s="15" t="str">
        <x:v>SV173</x:v>
      </x:c>
      <x:c r="B174" s="15" t="str">
        <x:v>Dương Khánh Nhân</x:v>
      </x:c>
      <x:c r="C174" s="15" t="str">
        <x:f>TRIM(B174)</x:f>
        <x:v>Dương Khánh Nhân</x:v>
      </x:c>
      <x:c r="D174" s="15" t="str">
        <x:v>CNTT</x:v>
      </x:c>
      <x:c r="E174" s="15" t="str">
        <x:v>KH173</x:v>
      </x:c>
      <x:c r="F174" s="17" t="n">
        <x:v>2.3</x:v>
      </x:c>
      <x:c r="G174" s="15" t="str">
        <x:v>Website</x:v>
      </x:c>
      <x:c r="H174" s="15" t="str">
        <x:v>Đã xác nhận</x:v>
      </x:c>
    </x:row>
    <x:row r="175" ht="27" customHeight="1" hidden="1">
      <x:c r="A175" s="15" t="str">
        <x:v>SV174</x:v>
      </x:c>
      <x:c r="B175" s="15" t="str">
        <x:v>Lý Khánh Yến</x:v>
      </x:c>
      <x:c r="C175" s="15" t="str">
        <x:f>TRIM(B175)</x:f>
        <x:v>Lý Khánh Yến</x:v>
      </x:c>
      <x:c r="D175" s="15" t="str">
        <x:v>QTKD</x:v>
      </x:c>
      <x:c r="E175" s="15" t="str">
        <x:v>KH174</x:v>
      </x:c>
      <x:c r="F175" s="17" t="n">
        <x:v>3</x:v>
      </x:c>
      <x:c r="G175" s="15" t="str">
        <x:v>Google Form</x:v>
      </x:c>
      <x:c r="H175" s="15" t="str">
        <x:v>Đã xác nhận</x:v>
      </x:c>
    </x:row>
    <x:row r="176" ht="27" customHeight="1" hidden="1">
      <x:c r="A176" s="15" t="str">
        <x:v>SV175</x:v>
      </x:c>
      <x:c r="B176" s="15" t="str">
        <x:v>Đinh Khánh Huy</x:v>
      </x:c>
      <x:c r="C176" s="15" t="str">
        <x:f>TRIM(B176)</x:f>
        <x:v>Đinh Khánh Huy</x:v>
      </x:c>
      <x:c r="D176" s="15" t="str">
        <x:v>DTVT</x:v>
      </x:c>
      <x:c r="E176" s="15" t="str">
        <x:v>KH175</x:v>
      </x:c>
      <x:c r="F176" s="17" t="n">
        <x:v>3.7</x:v>
      </x:c>
      <x:c r="G176" s="15" t="str">
        <x:v>Facebook Ads</x:v>
      </x:c>
      <x:c r="H176" s="15" t="str">
        <x:v>Chờ xác nhận</x:v>
      </x:c>
    </x:row>
    <x:row r="177" ht="27" customHeight="1">
      <x:c r="A177" s="15" t="str">
        <x:v>SV176</x:v>
      </x:c>
      <x:c r="B177" s="15" t="str">
        <x:v>  Phan Khánh Long</x:v>
      </x:c>
      <x:c r="C177" s="15" t="str">
        <x:f>TRIM(B177)</x:f>
        <x:v>Phan Khánh Long</x:v>
      </x:c>
      <x:c r="D177" s="15" t="str">
        <x:v>CNTT</x:v>
      </x:c>
      <x:c r="E177" s="15" t="str">
        <x:v>KH176</x:v>
      </x:c>
      <x:c r="F177" s="17" t="n">
        <x:v>4.4</x:v>
      </x:c>
      <x:c r="G177" s="15" t="str">
        <x:v>Zalo OA</x:v>
      </x:c>
      <x:c r="H177" s="15" t="str">
        <x:v>Đã xác nhận</x:v>
      </x:c>
    </x:row>
    <x:row r="178" ht="27" customHeight="1">
      <x:c r="A178" s="15" t="str">
        <x:v>SV177</x:v>
      </x:c>
      <x:c r="B178" s="15" t="str">
        <x:v>Mai Khánh   An</x:v>
      </x:c>
      <x:c r="C178" s="15" t="str">
        <x:f>TRIM(B178)</x:f>
        <x:v>Mai Khánh An</x:v>
      </x:c>
      <x:c r="D178" s="15" t="str">
        <x:v>CNTT</x:v>
      </x:c>
      <x:c r="E178" s="15" t="str">
        <x:v>KH177</x:v>
      </x:c>
      <x:c r="F178" s="17" t="n">
        <x:v>5.1</x:v>
      </x:c>
      <x:c r="G178" s="15" t="str">
        <x:v>Website</x:v>
      </x:c>
      <x:c r="H178" s="15" t="str">
        <x:v>Đã xác nhận</x:v>
      </x:c>
    </x:row>
    <x:row r="179" ht="27" customHeight="1" hidden="1">
      <x:c r="A179" s="15" t="str">
        <x:v>SV178</x:v>
      </x:c>
      <x:c r="B179" s="15" t="str">
        <x:v>Đào Khánh Vy</x:v>
      </x:c>
      <x:c r="C179" s="15" t="str">
        <x:f>TRIM(B179)</x:f>
        <x:v>Đào Khánh Vy</x:v>
      </x:c>
      <x:c r="D179" s="15" t="str">
        <x:v>QTKD</x:v>
      </x:c>
      <x:c r="E179" s="15" t="str">
        <x:v>KH178</x:v>
      </x:c>
      <x:c r="F179" s="17" t="n">
        <x:v>5.8</x:v>
      </x:c>
      <x:c r="G179" s="15" t="str">
        <x:v>Google Form</x:v>
      </x:c>
      <x:c r="H179" s="15" t="str">
        <x:v>Đã xác nhận</x:v>
      </x:c>
    </x:row>
    <x:row r="180" ht="27" customHeight="1" hidden="1">
      <x:c r="A180" s="15" t="str">
        <x:v>SV179</x:v>
      </x:c>
      <x:c r="B180" s="15" t="str">
        <x:v>Cao Khánh Mai</x:v>
      </x:c>
      <x:c r="C180" s="15" t="str">
        <x:f>TRIM(B180)</x:f>
        <x:v>Cao Khánh Mai</x:v>
      </x:c>
      <x:c r="D180" s="15" t="str">
        <x:v>DTVT</x:v>
      </x:c>
      <x:c r="E180" s="15" t="str">
        <x:v>KH179</x:v>
      </x:c>
      <x:c r="F180" s="17" t="n">
        <x:v>6.5</x:v>
      </x:c>
      <x:c r="G180" s="15" t="str">
        <x:v>Facebook Ads</x:v>
      </x:c>
      <x:c r="H180" s="15" t="str">
        <x:v>Đã xác nhận</x:v>
      </x:c>
    </x:row>
    <x:row r="181" ht="27" customHeight="1" hidden="1">
      <x:c r="A181" s="15" t="str">
        <x:v>SV180</x:v>
      </x:c>
      <x:c r="B181" s="15" t="str">
        <x:v>Tạ Khánh Bình</x:v>
      </x:c>
      <x:c r="C181" s="15" t="str">
        <x:f>TRIM(B181)</x:f>
        <x:v>Tạ Khánh Bình</x:v>
      </x:c>
      <x:c r="D181" s="15" t="str">
        <x:v>CNTT</x:v>
      </x:c>
      <x:c r="E181" s="15" t="str">
        <x:v>KH180</x:v>
      </x:c>
      <x:c r="F181" s="17" t="n">
        <x:v>7.2</x:v>
      </x:c>
      <x:c r="G181" s="15" t="str">
        <x:v>Zalo OA</x:v>
      </x:c>
      <x:c r="H181" s="15" t="str">
        <x:v>Đã xác nhận</x:v>
      </x:c>
    </x:row>
    <x:row r="182" ht="27" customHeight="1" hidden="1">
      <x:c r="A182" s="15" t="str">
        <x:v>SV181</x:v>
      </x:c>
      <x:c r="B182" s="15" t="str">
        <x:v>Nguyễn Hữu Phúc  </x:v>
      </x:c>
      <x:c r="C182" s="15" t="str">
        <x:f>TRIM(B182)</x:f>
        <x:v>Nguyễn Hữu Phúc</x:v>
      </x:c>
      <x:c r="D182" s="15" t="str">
        <x:v>CNTT</x:v>
      </x:c>
      <x:c r="E182" s="15" t="str">
        <x:v>KH181</x:v>
      </x:c>
      <x:c r="F182" s="17" t="n">
        <x:v>7.9</x:v>
      </x:c>
      <x:c r="G182" s="15" t="str">
        <x:v>Website</x:v>
      </x:c>
      <x:c r="H182" s="15" t="str">
        <x:v>Chờ xác nhận</x:v>
      </x:c>
    </x:row>
    <x:row r="183" ht="27" customHeight="1" hidden="1">
      <x:c r="A183" s="15" t="str">
        <x:v>SV182</x:v>
      </x:c>
      <x:c r="B183" s="15" t="str">
        <x:v>Trần Hữu Thảo</x:v>
      </x:c>
      <x:c r="C183" s="15" t="str">
        <x:f>TRIM(B183)</x:f>
        <x:v>Trần Hữu Thảo</x:v>
      </x:c>
      <x:c r="D183" s="15" t="str">
        <x:v>QTKD</x:v>
      </x:c>
      <x:c r="E183" s="15" t="str">
        <x:v>KH182</x:v>
      </x:c>
      <x:c r="F183" s="17" t="n">
        <x:v>8.6</x:v>
      </x:c>
      <x:c r="G183" s="15" t="str">
        <x:v>Google Form</x:v>
      </x:c>
      <x:c r="H183" s="15" t="str">
        <x:v>Đã xác nhận</x:v>
      </x:c>
    </x:row>
    <x:row r="184" ht="27" customHeight="1" hidden="1">
      <x:c r="A184" s="15" t="str">
        <x:v>SV183</x:v>
      </x:c>
      <x:c r="B184" s="15" t="str">
        <x:v>  Lê Hữu Hà</x:v>
      </x:c>
      <x:c r="C184" s="15" t="str">
        <x:f>TRIM(B184)</x:f>
        <x:v>Lê Hữu Hà</x:v>
      </x:c>
      <x:c r="D184" s="15" t="str">
        <x:v>DTVT</x:v>
      </x:c>
      <x:c r="E184" s="15" t="str">
        <x:v>KH183</x:v>
      </x:c>
      <x:c r="F184" s="17" t="n">
        <x:v>9.3</x:v>
      </x:c>
      <x:c r="G184" s="15" t="str">
        <x:v>Facebook Ads</x:v>
      </x:c>
      <x:c r="H184" s="15" t="str">
        <x:v>Đã xác nhận</x:v>
      </x:c>
    </x:row>
    <x:row r="185" ht="27" customHeight="1" hidden="1">
      <x:c r="A185" s="15" t="str">
        <x:v>SV184</x:v>
      </x:c>
      <x:c r="B185" s="15" t="str">
        <x:v>Phạm Hữu Anh</x:v>
      </x:c>
      <x:c r="C185" s="15" t="str">
        <x:f>TRIM(B185)</x:f>
        <x:v>Phạm Hữu Anh</x:v>
      </x:c>
      <x:c r="D185" s="15" t="str">
        <x:v>CNTT</x:v>
      </x:c>
      <x:c r="E185" s="15" t="str">
        <x:v>KH184</x:v>
      </x:c>
      <x:c r="F185" s="17" t="n">
        <x:v>10</x:v>
      </x:c>
      <x:c r="G185" s="15" t="str">
        <x:v>Zalo OA</x:v>
      </x:c>
      <x:c r="H185" s="15" t="str">
        <x:v>Đã xác nhận</x:v>
      </x:c>
    </x:row>
    <x:row r="186" ht="27" customHeight="1">
      <x:c r="A186" s="15" t="str">
        <x:v>SV185</x:v>
      </x:c>
      <x:c r="B186" s="15" t="str">
        <x:v>Hoàng Hữu Tâm</x:v>
      </x:c>
      <x:c r="C186" s="15" t="str">
        <x:f>TRIM(B186)</x:f>
        <x:v>Hoàng Hữu Tâm</x:v>
      </x:c>
      <x:c r="D186" s="15" t="str">
        <x:v>CNTT</x:v>
      </x:c>
      <x:c r="E186" s="15" t="str">
        <x:v>KH185</x:v>
      </x:c>
      <x:c r="F186" s="17" t="n">
        <x:v>0.6</x:v>
      </x:c>
      <x:c r="G186" s="15" t="str">
        <x:v>Website</x:v>
      </x:c>
      <x:c r="H186" s="15" t="str">
        <x:v>Đã xác nhận</x:v>
      </x:c>
    </x:row>
    <x:row r="187" ht="27" customHeight="1" hidden="1">
      <x:c r="A187" s="15" t="str">
        <x:v>SV186</x:v>
      </x:c>
      <x:c r="B187" s="15" t="str">
        <x:v>Vũ Hữu Nam</x:v>
      </x:c>
      <x:c r="C187" s="15" t="str">
        <x:f>TRIM(B187)</x:f>
        <x:v>Vũ Hữu Nam</x:v>
      </x:c>
      <x:c r="D187" s="15" t="str">
        <x:v>QTKD</x:v>
      </x:c>
      <x:c r="E187" s="15" t="str">
        <x:v>KH186</x:v>
      </x:c>
      <x:c r="F187" s="17" t="n">
        <x:v>1.3</x:v>
      </x:c>
      <x:c r="G187" s="15" t="str">
        <x:v>Google Form</x:v>
      </x:c>
      <x:c r="H187" s="15" t="str">
        <x:v>Đã xác nhận</x:v>
      </x:c>
    </x:row>
    <x:row r="188" ht="27" customHeight="1" hidden="1">
      <x:c r="A188" s="15" t="str">
        <x:v>SV187</x:v>
      </x:c>
      <x:c r="B188" s="15" t="str">
        <x:v>Võ Hữu Trang</x:v>
      </x:c>
      <x:c r="C188" s="15" t="str">
        <x:f>TRIM(B188)</x:f>
        <x:v>Võ Hữu Trang</x:v>
      </x:c>
      <x:c r="D188" s="15" t="str">
        <x:v>DTVT</x:v>
      </x:c>
      <x:c r="E188" s="15" t="str">
        <x:v>KH187</x:v>
      </x:c>
      <x:c r="F188" s="17" t="n">
        <x:v>2</x:v>
      </x:c>
      <x:c r="G188" s="15" t="str">
        <x:v>Facebook Ads</x:v>
      </x:c>
      <x:c r="H188" s="15" t="str">
        <x:v>Chờ xác nhận</x:v>
      </x:c>
    </x:row>
    <x:row r="189" ht="27" customHeight="1">
      <x:c r="A189" s="15" t="str">
        <x:v>SV188</x:v>
      </x:c>
      <x:c r="B189" s="15" t="str">
        <x:v>Đặng Hữu   Kiệt</x:v>
      </x:c>
      <x:c r="C189" s="15" t="str">
        <x:f>TRIM(B189)</x:f>
        <x:v>Đặng Hữu Kiệt</x:v>
      </x:c>
      <x:c r="D189" s="15" t="str">
        <x:v>CNTT</x:v>
      </x:c>
      <x:c r="E189" s="15" t="str">
        <x:v>KH188</x:v>
      </x:c>
      <x:c r="F189" s="17" t="n">
        <x:v>2.7</x:v>
      </x:c>
      <x:c r="G189" s="15" t="str">
        <x:v>Zalo OA</x:v>
      </x:c>
      <x:c r="H189" s="15" t="str">
        <x:v>Đã xác nhận</x:v>
      </x:c>
    </x:row>
    <x:row r="190" ht="27" customHeight="1">
      <x:c r="A190" s="15" t="str">
        <x:v>SV189</x:v>
      </x:c>
      <x:c r="B190" s="15" t="str">
        <x:v>Bùi Hữu Linh</x:v>
      </x:c>
      <x:c r="C190" s="15" t="str">
        <x:f>TRIM(B190)</x:f>
        <x:v>Bùi Hữu Linh</x:v>
      </x:c>
      <x:c r="D190" s="15" t="str">
        <x:v>CNTT</x:v>
      </x:c>
      <x:c r="E190" s="15" t="str">
        <x:v>KH189</x:v>
      </x:c>
      <x:c r="F190" s="17" t="n">
        <x:v>3.4</x:v>
      </x:c>
      <x:c r="G190" s="15" t="str">
        <x:v>Website</x:v>
      </x:c>
      <x:c r="H190" s="15" t="str">
        <x:v>Đã xác nhận</x:v>
      </x:c>
    </x:row>
    <x:row r="191" ht="27" customHeight="1" hidden="1">
      <x:c r="A191" s="15" t="str">
        <x:v>SV190</x:v>
      </x:c>
      <x:c r="B191" s="15" t="str">
        <x:v>  Đỗ Hữu Nhân  </x:v>
      </x:c>
      <x:c r="C191" s="15" t="str">
        <x:f>TRIM(B191)</x:f>
        <x:v>Đỗ Hữu Nhân</x:v>
      </x:c>
      <x:c r="D191" s="15" t="str">
        <x:v>QTKD</x:v>
      </x:c>
      <x:c r="E191" s="15" t="str">
        <x:v>KH190</x:v>
      </x:c>
      <x:c r="F191" s="17" t="n">
        <x:v>4.1</x:v>
      </x:c>
      <x:c r="G191" s="15" t="str">
        <x:v>Google Form</x:v>
      </x:c>
      <x:c r="H191" s="15" t="str">
        <x:v>Đã xác nhận</x:v>
      </x:c>
    </x:row>
    <x:row r="192" ht="27" customHeight="1" hidden="1">
      <x:c r="A192" s="15" t="str">
        <x:v>SV191</x:v>
      </x:c>
      <x:c r="B192" s="15" t="str">
        <x:v>Hồ Hữu Yến</x:v>
      </x:c>
      <x:c r="C192" s="15" t="str">
        <x:f>TRIM(B192)</x:f>
        <x:v>Hồ Hữu Yến</x:v>
      </x:c>
      <x:c r="D192" s="15" t="str">
        <x:v>DTVT</x:v>
      </x:c>
      <x:c r="E192" s="15" t="str">
        <x:v>KH191</x:v>
      </x:c>
      <x:c r="F192" s="17" t="n">
        <x:v>4.8</x:v>
      </x:c>
      <x:c r="G192" s="15" t="str">
        <x:v>Facebook Ads</x:v>
      </x:c>
      <x:c r="H192" s="15" t="str">
        <x:v>Đã xác nhận</x:v>
      </x:c>
    </x:row>
    <x:row r="193" ht="27" customHeight="1">
      <x:c r="A193" s="15" t="str">
        <x:v>SV192</x:v>
      </x:c>
      <x:c r="B193" s="15" t="str">
        <x:v>Ngô Hữu Huy</x:v>
      </x:c>
      <x:c r="C193" s="15" t="str">
        <x:f>TRIM(B193)</x:f>
        <x:v>Ngô Hữu Huy</x:v>
      </x:c>
      <x:c r="D193" s="15" t="str">
        <x:v>CNTT</x:v>
      </x:c>
      <x:c r="E193" s="15" t="str">
        <x:v>KH192</x:v>
      </x:c>
      <x:c r="F193" s="17" t="n">
        <x:v>5.5</x:v>
      </x:c>
      <x:c r="G193" s="15" t="str">
        <x:v>Zalo OA</x:v>
      </x:c>
      <x:c r="H193" s="15" t="str">
        <x:v>Đã xác nhận</x:v>
      </x:c>
    </x:row>
    <x:row r="194" ht="27" customHeight="1">
      <x:c r="A194" s="15" t="str">
        <x:v>SV193</x:v>
      </x:c>
      <x:c r="B194" s="15" t="str">
        <x:v>Dương Hữu Long</x:v>
      </x:c>
      <x:c r="C194" s="15" t="str">
        <x:f>TRIM(B194)</x:f>
        <x:v>Dương Hữu Long</x:v>
      </x:c>
      <x:c r="D194" s="15" t="str">
        <x:v>CNTT</x:v>
      </x:c>
      <x:c r="E194" s="15" t="str">
        <x:v>KH193</x:v>
      </x:c>
      <x:c r="F194" s="17" t="n">
        <x:v>6.2</x:v>
      </x:c>
      <x:c r="G194" s="15" t="str">
        <x:v>Website</x:v>
      </x:c>
      <x:c r="H194" s="15" t="str">
        <x:v>Chờ xác nhận</x:v>
      </x:c>
    </x:row>
    <x:row r="195" ht="27" customHeight="1" hidden="1">
      <x:c r="A195" s="15" t="str">
        <x:v>SV194</x:v>
      </x:c>
      <x:c r="B195" s="15" t="str">
        <x:v>Lý Hữu An</x:v>
      </x:c>
      <x:c r="C195" s="15" t="str">
        <x:f>TRIM(B195)</x:f>
        <x:v>Lý Hữu An</x:v>
      </x:c>
      <x:c r="D195" s="15" t="str">
        <x:v>QTKD</x:v>
      </x:c>
      <x:c r="E195" s="15" t="str">
        <x:v>KH194</x:v>
      </x:c>
      <x:c r="F195" s="17" t="n">
        <x:v>6.9</x:v>
      </x:c>
      <x:c r="G195" s="15" t="str">
        <x:v>Google Form</x:v>
      </x:c>
      <x:c r="H195" s="15" t="str">
        <x:v>Đã xác nhận</x:v>
      </x:c>
    </x:row>
    <x:row r="196" ht="27" customHeight="1" hidden="1">
      <x:c r="A196" s="15" t="str">
        <x:v>SV195</x:v>
      </x:c>
      <x:c r="B196" s="15" t="str">
        <x:v>Đinh Hữu Vy</x:v>
      </x:c>
      <x:c r="C196" s="15" t="str">
        <x:f>TRIM(B196)</x:f>
        <x:v>Đinh Hữu Vy</x:v>
      </x:c>
      <x:c r="D196" s="15" t="str">
        <x:v>DTVT</x:v>
      </x:c>
      <x:c r="E196" s="15" t="str">
        <x:v>KH195</x:v>
      </x:c>
      <x:c r="F196" s="17" t="n">
        <x:v>7.6</x:v>
      </x:c>
      <x:c r="G196" s="15" t="str">
        <x:v>Facebook Ads</x:v>
      </x:c>
      <x:c r="H196" s="15" t="str">
        <x:v>Đã xác nhận</x:v>
      </x:c>
    </x:row>
    <x:row r="197" ht="27" customHeight="1" hidden="1">
      <x:c r="A197" s="15" t="str">
        <x:v>SV196</x:v>
      </x:c>
      <x:c r="B197" s="15" t="str">
        <x:v>Phan Hữu Mai</x:v>
      </x:c>
      <x:c r="C197" s="15" t="str">
        <x:f>TRIM(B197)</x:f>
        <x:v>Phan Hữu Mai</x:v>
      </x:c>
      <x:c r="D197" s="15" t="str">
        <x:v>CNTT</x:v>
      </x:c>
      <x:c r="E197" s="15" t="str">
        <x:v>KH196</x:v>
      </x:c>
      <x:c r="F197" s="17" t="n">
        <x:v>8.3</x:v>
      </x:c>
      <x:c r="G197" s="15" t="str">
        <x:v>Zalo OA</x:v>
      </x:c>
      <x:c r="H197" s="15" t="str">
        <x:v>Đã xác nhận</x:v>
      </x:c>
    </x:row>
    <x:row r="198" ht="27" customHeight="1" hidden="1">
      <x:c r="A198" s="15" t="str">
        <x:v>SV197</x:v>
      </x:c>
      <x:c r="B198" s="15" t="str">
        <x:v>  Mai Hữu Bình</x:v>
      </x:c>
      <x:c r="C198" s="15" t="str">
        <x:f>TRIM(B198)</x:f>
        <x:v>Mai Hữu Bình</x:v>
      </x:c>
      <x:c r="D198" s="15" t="str">
        <x:v>CNTT</x:v>
      </x:c>
      <x:c r="E198" s="15" t="str">
        <x:v>KH197</x:v>
      </x:c>
      <x:c r="F198" s="17" t="n">
        <x:v>9</x:v>
      </x:c>
      <x:c r="G198" s="15" t="str">
        <x:v>Website</x:v>
      </x:c>
      <x:c r="H198" s="15" t="str">
        <x:v>Đã xác nhận</x:v>
      </x:c>
    </x:row>
    <x:row r="199" ht="27" customHeight="1" hidden="1">
      <x:c r="A199" s="15" t="str">
        <x:v>SV198</x:v>
      </x:c>
      <x:c r="B199" s="15" t="str">
        <x:v>Đào Hữu Khang</x:v>
      </x:c>
      <x:c r="C199" s="15" t="str">
        <x:f>TRIM(B199)</x:f>
        <x:v>Đào Hữu Khang</x:v>
      </x:c>
      <x:c r="D199" s="15" t="str">
        <x:v>QTKD</x:v>
      </x:c>
      <x:c r="E199" s="15" t="str">
        <x:v>KH198</x:v>
      </x:c>
      <x:c r="F199" s="17" t="n">
        <x:v>9.7</x:v>
      </x:c>
      <x:c r="G199" s="15" t="str">
        <x:v>Google Form</x:v>
      </x:c>
      <x:c r="H199" s="15" t="str">
        <x:v>Đã xác nhận</x:v>
      </x:c>
    </x:row>
    <x:row r="200" ht="27" customHeight="1" hidden="1">
      <x:c r="A200" s="15" t="str">
        <x:v>SV199</x:v>
      </x:c>
      <x:c r="B200" s="15" t="str">
        <x:v>Cao Hữu   Quân  </x:v>
      </x:c>
      <x:c r="C200" s="15" t="str">
        <x:f>TRIM(B200)</x:f>
        <x:v>Cao Hữu Quân</x:v>
      </x:c>
      <x:c r="D200" s="15" t="str">
        <x:v>DTVT</x:v>
      </x:c>
      <x:c r="E200" s="15" t="str">
        <x:v>KH199</x:v>
      </x:c>
      <x:c r="F200" s="17" t="n">
        <x:v>0.3</x:v>
      </x:c>
      <x:c r="G200" s="15" t="str">
        <x:v>Facebook Ads</x:v>
      </x:c>
      <x:c r="H200" s="15" t="str">
        <x:v>Chờ xác nhận</x:v>
      </x:c>
    </x:row>
    <x:row r="201" ht="27" customHeight="1">
      <x:c r="A201" s="15" t="str">
        <x:v>SV200</x:v>
      </x:c>
      <x:c r="B201" s="15" t="str">
        <x:v>Tạ Hữu Đức</x:v>
      </x:c>
      <x:c r="C201" s="15" t="str">
        <x:f>TRIM(B201)</x:f>
        <x:v>Tạ Hữu Đức</x:v>
      </x:c>
      <x:c r="D201" s="15" t="str">
        <x:v>CNTT</x:v>
      </x:c>
      <x:c r="E201" s="15" t="str">
        <x:v>KH200</x:v>
      </x:c>
      <x:c r="F201" s="17" t="n">
        <x:v>1</x:v>
      </x:c>
      <x:c r="G201" s="15" t="str">
        <x:v>Zalo OA</x:v>
      </x:c>
      <x:c r="H201" s="15" t="str">
        <x:v>Đã xác nhận</x:v>
      </x:c>
    </x:row>
  </x:sheetData>
  <x:conditionalFormatting sqref="A2:H201">
    <x:cfRule type="expression" dxfId="0" priority="1">
      <x:formula>AND($D2="CNTT",$F2&lt;7)</x:formula>
    </x:cfRule>
  </x:conditionalFormatting>
  <x:dataValidations count="1">
    <x:dataValidation type="decimal" operator="between" sqref="F2:F201">
      <x:formula1>0</x:formula1>
      <x:formula2>10</x:formula2>
    </x:dataValidation>
  </x:dataValidations>
  <x:pageMargins left="0.25" right="0.25" top="0.4" bottom="0.4" header="0.2" footer="0.2"/>
  <x:pageSetup paperSize="9" orientation="landscape" fitToWidth="1" fitToHeight="0"/>
  <x:tableParts count="1">
    <x:tablePart xmlns:r="http://schemas.openxmlformats.org/officeDocument/2006/relationships" r:id="R5989a623b1db42d6"/>
  </x:tableParts>
</x:worksheet>
</file>

<file path=xl/worksheets/sheet2.xml><?xml version="1.0" encoding="utf-8"?>
<x:worksheet xmlns:x="http://schemas.openxmlformats.org/spreadsheetml/2006/main">
  <x:sheetPr filterMode="1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2" hidden="0" customWidth="1"/>
    <x:col min="4" max="4" width="18" hidden="0" customWidth="1"/>
    <x:col min="5" max="5" width="18" hidden="0" customWidth="1"/>
    <x:col min="6" max="6" width="17" hidden="0" customWidth="1"/>
    <x:col min="7" max="7" width="12" hidden="0" customWidth="1"/>
    <x:col min="8" max="8" width="20" hidden="0" customWidth="1"/>
  </x:cols>
  <x:sheetData>
    <x:row r="1" ht="38" customHeight="1">
      <x:c r="A1" s="12" t="str">
        <x:v>Mã khóa học</x:v>
      </x:c>
      <x:c r="B1" s="13" t="str">
        <x:v>Tên khóa học</x:v>
      </x:c>
      <x:c r="C1" s="13" t="str">
        <x:v>Khoa</x:v>
      </x:c>
      <x:c r="D1" s="13" t="str">
        <x:v>Trình độ</x:v>
      </x:c>
      <x:c r="E1" s="13" t="str">
        <x:v>Hình thức</x:v>
      </x:c>
      <x:c r="F1" s="13" t="str">
        <x:v>Trạng thái</x:v>
      </x:c>
      <x:c r="G1" s="13" t="str">
        <x:v>Số buổi</x:v>
      </x:c>
      <x:c r="H1" s="14" t="str">
        <x:v>Học phí VND</x:v>
      </x:c>
    </x:row>
    <x:row r="2" ht="27" customHeight="1" hidden="1">
      <x:c r="A2" s="15" t="str">
        <x:v>KH001</x:v>
      </x:c>
      <x:c r="B2" s="15" t="str">
        <x:v>HTML và CSS 01</x:v>
      </x:c>
      <x:c r="C2" s="15" t="str">
        <x:v>CNTT</x:v>
      </x:c>
      <x:c r="D2" s="15" t="str">
        <x:v>Cơ bản</x:v>
      </x:c>
      <x:c r="E2" s="15" t="str">
        <x:v>Trực tuyến</x:v>
      </x:c>
      <x:c r="F2" s="15" t="str">
        <x:v>Đã đóng</x:v>
      </x:c>
      <x:c r="G2" s="19" t="n">
        <x:v>8</x:v>
      </x:c>
      <x:c r="H2" s="18" t="n">
        <x:v>500000</x:v>
      </x:c>
    </x:row>
    <x:row r="3" ht="27" customHeight="1" hidden="1">
      <x:c r="A3" s="15" t="str">
        <x:v>KH002</x:v>
      </x:c>
      <x:c r="B3" s="15" t="str">
        <x:v>JavaScript 01</x:v>
      </x:c>
      <x:c r="C3" s="15" t="str">
        <x:v>QTKD</x:v>
      </x:c>
      <x:c r="D3" s="15" t="str">
        <x:v>Cơ bản</x:v>
      </x:c>
      <x:c r="E3" s="15" t="str">
        <x:v>Kết hợp</x:v>
      </x:c>
      <x:c r="F3" s="15" t="str">
        <x:v>Đang mở</x:v>
      </x:c>
      <x:c r="G3" s="19" t="n">
        <x:v>10</x:v>
      </x:c>
      <x:c r="H3" s="18" t="n">
        <x:v>750000</x:v>
      </x:c>
    </x:row>
    <x:row r="4" ht="27" customHeight="1" hidden="1">
      <x:c r="A4" s="15" t="str">
        <x:v>KH003</x:v>
      </x:c>
      <x:c r="B4" s="15" t="str">
        <x:v>Python 01</x:v>
      </x:c>
      <x:c r="C4" s="15" t="str">
        <x:v>DTVT</x:v>
      </x:c>
      <x:c r="D4" s="15" t="str">
        <x:v>Cơ bản</x:v>
      </x:c>
      <x:c r="E4" s="15" t="str">
        <x:v>Trực tuyến</x:v>
      </x:c>
      <x:c r="F4" s="15" t="str">
        <x:v>Đang mở</x:v>
      </x:c>
      <x:c r="G4" s="19" t="n">
        <x:v>12</x:v>
      </x:c>
      <x:c r="H4" s="18" t="n">
        <x:v>1000000</x:v>
      </x:c>
    </x:row>
    <x:row r="5" ht="27" customHeight="1">
      <x:c r="A5" s="15" t="str">
        <x:v>KH004</x:v>
      </x:c>
      <x:c r="B5" s="15" t="str">
        <x:v>Cơ sở dữ liệu 01</x:v>
      </x:c>
      <x:c r="C5" s="15" t="str">
        <x:v>CNTT</x:v>
      </x:c>
      <x:c r="D5" s="15" t="str">
        <x:v>Cơ bản</x:v>
      </x:c>
      <x:c r="E5" s="15" t="str">
        <x:v>Kết hợp</x:v>
      </x:c>
      <x:c r="F5" s="15" t="str">
        <x:v>Đang mở</x:v>
      </x:c>
      <x:c r="G5" s="19" t="n">
        <x:v>14</x:v>
      </x:c>
      <x:c r="H5" s="18" t="n">
        <x:v>1250000</x:v>
      </x:c>
    </x:row>
    <x:row r="6" ht="27" customHeight="1" hidden="1">
      <x:c r="A6" s="15" t="str">
        <x:v>KH005</x:v>
      </x:c>
      <x:c r="B6" s="15" t="str">
        <x:v>Cấu trúc dữ liệu 01</x:v>
      </x:c>
      <x:c r="C6" s="15" t="str">
        <x:v>CNTT</x:v>
      </x:c>
      <x:c r="D6" s="15" t="str">
        <x:v>Trung cấp</x:v>
      </x:c>
      <x:c r="E6" s="15" t="str">
        <x:v>Trực tuyến</x:v>
      </x:c>
      <x:c r="F6" s="15" t="str">
        <x:v>Đang mở</x:v>
      </x:c>
      <x:c r="G6" s="19" t="n">
        <x:v>16</x:v>
      </x:c>
      <x:c r="H6" s="18" t="n">
        <x:v>1500000</x:v>
      </x:c>
    </x:row>
    <x:row r="7" ht="27" customHeight="1" hidden="1">
      <x:c r="A7" s="15" t="str">
        <x:v>KH006</x:v>
      </x:c>
      <x:c r="B7" s="15" t="str">
        <x:v>Mạng máy tính 01</x:v>
      </x:c>
      <x:c r="C7" s="15" t="str">
        <x:v>QTKD</x:v>
      </x:c>
      <x:c r="D7" s="15" t="str">
        <x:v>Trung cấp</x:v>
      </x:c>
      <x:c r="E7" s="15" t="str">
        <x:v>Kết hợp</x:v>
      </x:c>
      <x:c r="F7" s="15" t="str">
        <x:v>Đã đóng</x:v>
      </x:c>
      <x:c r="G7" s="19" t="n">
        <x:v>18</x:v>
      </x:c>
      <x:c r="H7" s="18" t="n">
        <x:v>1750000</x:v>
      </x:c>
    </x:row>
    <x:row r="8" ht="27" customHeight="1" hidden="1">
      <x:c r="A8" s="15" t="str">
        <x:v>KH007</x:v>
      </x:c>
      <x:c r="B8" s="15" t="str">
        <x:v>Excel 01</x:v>
      </x:c>
      <x:c r="C8" s="15" t="str">
        <x:v>DTVT</x:v>
      </x:c>
      <x:c r="D8" s="15" t="str">
        <x:v>Trung cấp</x:v>
      </x:c>
      <x:c r="E8" s="15" t="str">
        <x:v>Trực tuyến</x:v>
      </x:c>
      <x:c r="F8" s="15" t="str">
        <x:v>Đang mở</x:v>
      </x:c>
      <x:c r="G8" s="19" t="n">
        <x:v>20</x:v>
      </x:c>
      <x:c r="H8" s="18" t="n">
        <x:v>500000</x:v>
      </x:c>
    </x:row>
    <x:row r="9" ht="27" customHeight="1" hidden="1">
      <x:c r="A9" s="15" t="str">
        <x:v>KH008</x:v>
      </x:c>
      <x:c r="B9" s="15" t="str">
        <x:v>Thiết kế UI UX 01</x:v>
      </x:c>
      <x:c r="C9" s="15" t="str">
        <x:v>CNTT</x:v>
      </x:c>
      <x:c r="D9" s="15" t="str">
        <x:v>Trung cấp</x:v>
      </x:c>
      <x:c r="E9" s="15" t="str">
        <x:v>Kết hợp</x:v>
      </x:c>
      <x:c r="F9" s="15" t="str">
        <x:v>Đang mở</x:v>
      </x:c>
      <x:c r="G9" s="19" t="n">
        <x:v>22</x:v>
      </x:c>
      <x:c r="H9" s="18" t="n">
        <x:v>750000</x:v>
      </x:c>
    </x:row>
    <x:row r="10" ht="27" customHeight="1" hidden="1">
      <x:c r="A10" s="15" t="str">
        <x:v>KH009</x:v>
      </x:c>
      <x:c r="B10" s="15" t="str">
        <x:v>Marketing số 01</x:v>
      </x:c>
      <x:c r="C10" s="15" t="str">
        <x:v>CNTT</x:v>
      </x:c>
      <x:c r="D10" s="15" t="str">
        <x:v>Nâng cao</x:v>
      </x:c>
      <x:c r="E10" s="15" t="str">
        <x:v>Trực tuyến</x:v>
      </x:c>
      <x:c r="F10" s="15" t="str">
        <x:v>Đang mở</x:v>
      </x:c>
      <x:c r="G10" s="19" t="n">
        <x:v>24</x:v>
      </x:c>
      <x:c r="H10" s="18" t="n">
        <x:v>1000000</x:v>
      </x:c>
    </x:row>
    <x:row r="11" ht="27" customHeight="1" hidden="1">
      <x:c r="A11" s="15" t="str">
        <x:v>KH010</x:v>
      </x:c>
      <x:c r="B11" s="15" t="str">
        <x:v>Tiếng Anh 01</x:v>
      </x:c>
      <x:c r="C11" s="15" t="str">
        <x:v>QTKD</x:v>
      </x:c>
      <x:c r="D11" s="15" t="str">
        <x:v>Nâng cao</x:v>
      </x:c>
      <x:c r="E11" s="15" t="str">
        <x:v>Kết hợp</x:v>
      </x:c>
      <x:c r="F11" s="15" t="str">
        <x:v>Đang mở</x:v>
      </x:c>
      <x:c r="G11" s="19" t="n">
        <x:v>8</x:v>
      </x:c>
      <x:c r="H11" s="18" t="n">
        <x:v>1250000</x:v>
      </x:c>
    </x:row>
    <x:row r="12" ht="27" customHeight="1" hidden="1">
      <x:c r="A12" s="15" t="str">
        <x:v>KH011</x:v>
      </x:c>
      <x:c r="B12" s="15" t="str">
        <x:v>HTML và CSS 02</x:v>
      </x:c>
      <x:c r="C12" s="15" t="str">
        <x:v>DTVT</x:v>
      </x:c>
      <x:c r="D12" s="15" t="str">
        <x:v>Nâng cao</x:v>
      </x:c>
      <x:c r="E12" s="15" t="str">
        <x:v>Trực tuyến</x:v>
      </x:c>
      <x:c r="F12" s="15" t="str">
        <x:v>Đã đóng</x:v>
      </x:c>
      <x:c r="G12" s="19" t="n">
        <x:v>10</x:v>
      </x:c>
      <x:c r="H12" s="18" t="n">
        <x:v>1500000</x:v>
      </x:c>
    </x:row>
    <x:row r="13" ht="27" customHeight="1" hidden="1">
      <x:c r="A13" s="15" t="str">
        <x:v>KH012</x:v>
      </x:c>
      <x:c r="B13" s="15" t="str">
        <x:v>JavaScript 02</x:v>
      </x:c>
      <x:c r="C13" s="15" t="str">
        <x:v>CNTT</x:v>
      </x:c>
      <x:c r="D13" s="15" t="str">
        <x:v>Nâng cao</x:v>
      </x:c>
      <x:c r="E13" s="15" t="str">
        <x:v>Kết hợp</x:v>
      </x:c>
      <x:c r="F13" s="15" t="str">
        <x:v>Đang mở</x:v>
      </x:c>
      <x:c r="G13" s="19" t="n">
        <x:v>12</x:v>
      </x:c>
      <x:c r="H13" s="18" t="n">
        <x:v>1750000</x:v>
      </x:c>
    </x:row>
    <x:row r="14" ht="27" customHeight="1">
      <x:c r="A14" s="15" t="str">
        <x:v>KH013</x:v>
      </x:c>
      <x:c r="B14" s="15" t="str">
        <x:v>Python 02</x:v>
      </x:c>
      <x:c r="C14" s="15" t="str">
        <x:v>CNTT</x:v>
      </x:c>
      <x:c r="D14" s="15" t="str">
        <x:v>Cơ bản</x:v>
      </x:c>
      <x:c r="E14" s="15" t="str">
        <x:v>Trực tuyến</x:v>
      </x:c>
      <x:c r="F14" s="15" t="str">
        <x:v>Đang mở</x:v>
      </x:c>
      <x:c r="G14" s="19" t="n">
        <x:v>14</x:v>
      </x:c>
      <x:c r="H14" s="18" t="n">
        <x:v>500000</x:v>
      </x:c>
    </x:row>
    <x:row r="15" ht="27" customHeight="1" hidden="1">
      <x:c r="A15" s="15" t="str">
        <x:v>KH014</x:v>
      </x:c>
      <x:c r="B15" s="15" t="str">
        <x:v>Cơ sở dữ liệu 02</x:v>
      </x:c>
      <x:c r="C15" s="15" t="str">
        <x:v>QTKD</x:v>
      </x:c>
      <x:c r="D15" s="15" t="str">
        <x:v>Cơ bản</x:v>
      </x:c>
      <x:c r="E15" s="15" t="str">
        <x:v>Kết hợp</x:v>
      </x:c>
      <x:c r="F15" s="15" t="str">
        <x:v>Đang mở</x:v>
      </x:c>
      <x:c r="G15" s="19" t="n">
        <x:v>16</x:v>
      </x:c>
      <x:c r="H15" s="18" t="n">
        <x:v>750000</x:v>
      </x:c>
    </x:row>
    <x:row r="16" ht="27" customHeight="1" hidden="1">
      <x:c r="A16" s="15" t="str">
        <x:v>KH015</x:v>
      </x:c>
      <x:c r="B16" s="15" t="str">
        <x:v>Cấu trúc dữ liệu 02</x:v>
      </x:c>
      <x:c r="C16" s="15" t="str">
        <x:v>DTVT</x:v>
      </x:c>
      <x:c r="D16" s="15" t="str">
        <x:v>Cơ bản</x:v>
      </x:c>
      <x:c r="E16" s="15" t="str">
        <x:v>Trực tuyến</x:v>
      </x:c>
      <x:c r="F16" s="15" t="str">
        <x:v>Đang mở</x:v>
      </x:c>
      <x:c r="G16" s="19" t="n">
        <x:v>18</x:v>
      </x:c>
      <x:c r="H16" s="18" t="n">
        <x:v>1000000</x:v>
      </x:c>
    </x:row>
    <x:row r="17" ht="27" customHeight="1" hidden="1">
      <x:c r="A17" s="15" t="str">
        <x:v>KH016</x:v>
      </x:c>
      <x:c r="B17" s="15" t="str">
        <x:v>Mạng máy tính 02</x:v>
      </x:c>
      <x:c r="C17" s="15" t="str">
        <x:v>CNTT</x:v>
      </x:c>
      <x:c r="D17" s="15" t="str">
        <x:v>Cơ bản</x:v>
      </x:c>
      <x:c r="E17" s="15" t="str">
        <x:v>Kết hợp</x:v>
      </x:c>
      <x:c r="F17" s="15" t="str">
        <x:v>Đã đóng</x:v>
      </x:c>
      <x:c r="G17" s="19" t="n">
        <x:v>20</x:v>
      </x:c>
      <x:c r="H17" s="18" t="n">
        <x:v>1250000</x:v>
      </x:c>
    </x:row>
    <x:row r="18" ht="27" customHeight="1" hidden="1">
      <x:c r="A18" s="15" t="str">
        <x:v>KH017</x:v>
      </x:c>
      <x:c r="B18" s="15" t="str">
        <x:v>Excel 02</x:v>
      </x:c>
      <x:c r="C18" s="15" t="str">
        <x:v>CNTT</x:v>
      </x:c>
      <x:c r="D18" s="15" t="str">
        <x:v>Trung cấp</x:v>
      </x:c>
      <x:c r="E18" s="15" t="str">
        <x:v>Trực tuyến</x:v>
      </x:c>
      <x:c r="F18" s="15" t="str">
        <x:v>Đang mở</x:v>
      </x:c>
      <x:c r="G18" s="19" t="n">
        <x:v>22</x:v>
      </x:c>
      <x:c r="H18" s="18" t="n">
        <x:v>1500000</x:v>
      </x:c>
    </x:row>
    <x:row r="19" ht="27" customHeight="1" hidden="1">
      <x:c r="A19" s="15" t="str">
        <x:v>KH018</x:v>
      </x:c>
      <x:c r="B19" s="15" t="str">
        <x:v>Thiết kế UI UX 02</x:v>
      </x:c>
      <x:c r="C19" s="15" t="str">
        <x:v>QTKD</x:v>
      </x:c>
      <x:c r="D19" s="15" t="str">
        <x:v>Trung cấp</x:v>
      </x:c>
      <x:c r="E19" s="15" t="str">
        <x:v>Kết hợp</x:v>
      </x:c>
      <x:c r="F19" s="15" t="str">
        <x:v>Đang mở</x:v>
      </x:c>
      <x:c r="G19" s="19" t="n">
        <x:v>24</x:v>
      </x:c>
      <x:c r="H19" s="18" t="n">
        <x:v>1750000</x:v>
      </x:c>
    </x:row>
    <x:row r="20" ht="27" customHeight="1" hidden="1">
      <x:c r="A20" s="15" t="str">
        <x:v>KH019</x:v>
      </x:c>
      <x:c r="B20" s="15" t="str">
        <x:v>Marketing số 02</x:v>
      </x:c>
      <x:c r="C20" s="15" t="str">
        <x:v>DTVT</x:v>
      </x:c>
      <x:c r="D20" s="15" t="str">
        <x:v>Trung cấp</x:v>
      </x:c>
      <x:c r="E20" s="15" t="str">
        <x:v>Trực tuyến</x:v>
      </x:c>
      <x:c r="F20" s="15" t="str">
        <x:v>Đang mở</x:v>
      </x:c>
      <x:c r="G20" s="19" t="n">
        <x:v>8</x:v>
      </x:c>
      <x:c r="H20" s="18" t="n">
        <x:v>500000</x:v>
      </x:c>
    </x:row>
    <x:row r="21" ht="27" customHeight="1" hidden="1">
      <x:c r="A21" s="15" t="str">
        <x:v>KH020</x:v>
      </x:c>
      <x:c r="B21" s="15" t="str">
        <x:v>Tiếng Anh 02</x:v>
      </x:c>
      <x:c r="C21" s="15" t="str">
        <x:v>CNTT</x:v>
      </x:c>
      <x:c r="D21" s="15" t="str">
        <x:v>Trung cấp</x:v>
      </x:c>
      <x:c r="E21" s="15" t="str">
        <x:v>Kết hợp</x:v>
      </x:c>
      <x:c r="F21" s="15" t="str">
        <x:v>Đang mở</x:v>
      </x:c>
      <x:c r="G21" s="19" t="n">
        <x:v>10</x:v>
      </x:c>
      <x:c r="H21" s="18" t="n">
        <x:v>750000</x:v>
      </x:c>
    </x:row>
    <x:row r="22" ht="27" customHeight="1" hidden="1">
      <x:c r="A22" s="15" t="str">
        <x:v>KH021</x:v>
      </x:c>
      <x:c r="B22" s="15" t="str">
        <x:v>HTML và CSS 03</x:v>
      </x:c>
      <x:c r="C22" s="15" t="str">
        <x:v>CNTT</x:v>
      </x:c>
      <x:c r="D22" s="15" t="str">
        <x:v>Nâng cao</x:v>
      </x:c>
      <x:c r="E22" s="15" t="str">
        <x:v>Trực tuyến</x:v>
      </x:c>
      <x:c r="F22" s="15" t="str">
        <x:v>Đã đóng</x:v>
      </x:c>
      <x:c r="G22" s="19" t="n">
        <x:v>12</x:v>
      </x:c>
      <x:c r="H22" s="18" t="n">
        <x:v>1000000</x:v>
      </x:c>
    </x:row>
    <x:row r="23" ht="27" customHeight="1" hidden="1">
      <x:c r="A23" s="15" t="str">
        <x:v>KH022</x:v>
      </x:c>
      <x:c r="B23" s="15" t="str">
        <x:v>JavaScript 03</x:v>
      </x:c>
      <x:c r="C23" s="15" t="str">
        <x:v>QTKD</x:v>
      </x:c>
      <x:c r="D23" s="15" t="str">
        <x:v>Nâng cao</x:v>
      </x:c>
      <x:c r="E23" s="15" t="str">
        <x:v>Kết hợp</x:v>
      </x:c>
      <x:c r="F23" s="15" t="str">
        <x:v>Đang mở</x:v>
      </x:c>
      <x:c r="G23" s="19" t="n">
        <x:v>14</x:v>
      </x:c>
      <x:c r="H23" s="18" t="n">
        <x:v>1250000</x:v>
      </x:c>
    </x:row>
    <x:row r="24" ht="27" customHeight="1" hidden="1">
      <x:c r="A24" s="15" t="str">
        <x:v>KH023</x:v>
      </x:c>
      <x:c r="B24" s="15" t="str">
        <x:v>Python 03</x:v>
      </x:c>
      <x:c r="C24" s="15" t="str">
        <x:v>DTVT</x:v>
      </x:c>
      <x:c r="D24" s="15" t="str">
        <x:v>Nâng cao</x:v>
      </x:c>
      <x:c r="E24" s="15" t="str">
        <x:v>Trực tuyến</x:v>
      </x:c>
      <x:c r="F24" s="15" t="str">
        <x:v>Đang mở</x:v>
      </x:c>
      <x:c r="G24" s="19" t="n">
        <x:v>16</x:v>
      </x:c>
      <x:c r="H24" s="18" t="n">
        <x:v>1500000</x:v>
      </x:c>
    </x:row>
    <x:row r="25" ht="27" customHeight="1" hidden="1">
      <x:c r="A25" s="15" t="str">
        <x:v>KH024</x:v>
      </x:c>
      <x:c r="B25" s="15" t="str">
        <x:v>Cơ sở dữ liệu 03</x:v>
      </x:c>
      <x:c r="C25" s="15" t="str">
        <x:v>CNTT</x:v>
      </x:c>
      <x:c r="D25" s="15" t="str">
        <x:v>Nâng cao</x:v>
      </x:c>
      <x:c r="E25" s="15" t="str">
        <x:v>Kết hợp</x:v>
      </x:c>
      <x:c r="F25" s="15" t="str">
        <x:v>Đang mở</x:v>
      </x:c>
      <x:c r="G25" s="19" t="n">
        <x:v>18</x:v>
      </x:c>
      <x:c r="H25" s="18" t="n">
        <x:v>1750000</x:v>
      </x:c>
    </x:row>
    <x:row r="26" ht="27" customHeight="1">
      <x:c r="A26" s="15" t="str">
        <x:v>KH025</x:v>
      </x:c>
      <x:c r="B26" s="15" t="str">
        <x:v>Cấu trúc dữ liệu 03</x:v>
      </x:c>
      <x:c r="C26" s="15" t="str">
        <x:v>CNTT</x:v>
      </x:c>
      <x:c r="D26" s="15" t="str">
        <x:v>Cơ bản</x:v>
      </x:c>
      <x:c r="E26" s="15" t="str">
        <x:v>Trực tuyến</x:v>
      </x:c>
      <x:c r="F26" s="15" t="str">
        <x:v>Đang mở</x:v>
      </x:c>
      <x:c r="G26" s="19" t="n">
        <x:v>20</x:v>
      </x:c>
      <x:c r="H26" s="18" t="n">
        <x:v>500000</x:v>
      </x:c>
    </x:row>
    <x:row r="27" ht="27" customHeight="1" hidden="1">
      <x:c r="A27" s="15" t="str">
        <x:v>KH026</x:v>
      </x:c>
      <x:c r="B27" s="15" t="str">
        <x:v>Mạng máy tính 03</x:v>
      </x:c>
      <x:c r="C27" s="15" t="str">
        <x:v>QTKD</x:v>
      </x:c>
      <x:c r="D27" s="15" t="str">
        <x:v>Cơ bản</x:v>
      </x:c>
      <x:c r="E27" s="15" t="str">
        <x:v>Kết hợp</x:v>
      </x:c>
      <x:c r="F27" s="15" t="str">
        <x:v>Đã đóng</x:v>
      </x:c>
      <x:c r="G27" s="19" t="n">
        <x:v>22</x:v>
      </x:c>
      <x:c r="H27" s="18" t="n">
        <x:v>750000</x:v>
      </x:c>
    </x:row>
    <x:row r="28" ht="27" customHeight="1" hidden="1">
      <x:c r="A28" s="15" t="str">
        <x:v>KH027</x:v>
      </x:c>
      <x:c r="B28" s="15" t="str">
        <x:v>Excel 03</x:v>
      </x:c>
      <x:c r="C28" s="15" t="str">
        <x:v>DTVT</x:v>
      </x:c>
      <x:c r="D28" s="15" t="str">
        <x:v>Cơ bản</x:v>
      </x:c>
      <x:c r="E28" s="15" t="str">
        <x:v>Trực tuyến</x:v>
      </x:c>
      <x:c r="F28" s="15" t="str">
        <x:v>Đang mở</x:v>
      </x:c>
      <x:c r="G28" s="19" t="n">
        <x:v>24</x:v>
      </x:c>
      <x:c r="H28" s="18" t="n">
        <x:v>1000000</x:v>
      </x:c>
    </x:row>
    <x:row r="29" ht="27" customHeight="1">
      <x:c r="A29" s="15" t="str">
        <x:v>KH028</x:v>
      </x:c>
      <x:c r="B29" s="15" t="str">
        <x:v>Thiết kế UI UX 03</x:v>
      </x:c>
      <x:c r="C29" s="15" t="str">
        <x:v>CNTT</x:v>
      </x:c>
      <x:c r="D29" s="15" t="str">
        <x:v>Cơ bản</x:v>
      </x:c>
      <x:c r="E29" s="15" t="str">
        <x:v>Kết hợp</x:v>
      </x:c>
      <x:c r="F29" s="15" t="str">
        <x:v>Đang mở</x:v>
      </x:c>
      <x:c r="G29" s="19" t="n">
        <x:v>8</x:v>
      </x:c>
      <x:c r="H29" s="18" t="n">
        <x:v>1250000</x:v>
      </x:c>
    </x:row>
    <x:row r="30" ht="27" customHeight="1" hidden="1">
      <x:c r="A30" s="15" t="str">
        <x:v>KH029</x:v>
      </x:c>
      <x:c r="B30" s="15" t="str">
        <x:v>Marketing số 03</x:v>
      </x:c>
      <x:c r="C30" s="15" t="str">
        <x:v>CNTT</x:v>
      </x:c>
      <x:c r="D30" s="15" t="str">
        <x:v>Trung cấp</x:v>
      </x:c>
      <x:c r="E30" s="15" t="str">
        <x:v>Trực tuyến</x:v>
      </x:c>
      <x:c r="F30" s="15" t="str">
        <x:v>Đang mở</x:v>
      </x:c>
      <x:c r="G30" s="19" t="n">
        <x:v>10</x:v>
      </x:c>
      <x:c r="H30" s="18" t="n">
        <x:v>1500000</x:v>
      </x:c>
    </x:row>
    <x:row r="31" ht="27" customHeight="1" hidden="1">
      <x:c r="A31" s="15" t="str">
        <x:v>KH030</x:v>
      </x:c>
      <x:c r="B31" s="15" t="str">
        <x:v>Tiếng Anh 03</x:v>
      </x:c>
      <x:c r="C31" s="15" t="str">
        <x:v>QTKD</x:v>
      </x:c>
      <x:c r="D31" s="15" t="str">
        <x:v>Trung cấp</x:v>
      </x:c>
      <x:c r="E31" s="15" t="str">
        <x:v>Kết hợp</x:v>
      </x:c>
      <x:c r="F31" s="15" t="str">
        <x:v>Đang mở</x:v>
      </x:c>
      <x:c r="G31" s="19" t="n">
        <x:v>12</x:v>
      </x:c>
      <x:c r="H31" s="18" t="n">
        <x:v>1750000</x:v>
      </x:c>
    </x:row>
    <x:row r="32" ht="27" customHeight="1" hidden="1">
      <x:c r="A32" s="15" t="str">
        <x:v>KH031</x:v>
      </x:c>
      <x:c r="B32" s="15" t="str">
        <x:v>HTML và CSS 04</x:v>
      </x:c>
      <x:c r="C32" s="15" t="str">
        <x:v>DTVT</x:v>
      </x:c>
      <x:c r="D32" s="15" t="str">
        <x:v>Trung cấp</x:v>
      </x:c>
      <x:c r="E32" s="15" t="str">
        <x:v>Trực tuyến</x:v>
      </x:c>
      <x:c r="F32" s="15" t="str">
        <x:v>Đã đóng</x:v>
      </x:c>
      <x:c r="G32" s="19" t="n">
        <x:v>14</x:v>
      </x:c>
      <x:c r="H32" s="18" t="n">
        <x:v>500000</x:v>
      </x:c>
    </x:row>
    <x:row r="33" ht="27" customHeight="1" hidden="1">
      <x:c r="A33" s="15" t="str">
        <x:v>KH032</x:v>
      </x:c>
      <x:c r="B33" s="15" t="str">
        <x:v>JavaScript 04</x:v>
      </x:c>
      <x:c r="C33" s="15" t="str">
        <x:v>CNTT</x:v>
      </x:c>
      <x:c r="D33" s="15" t="str">
        <x:v>Trung cấp</x:v>
      </x:c>
      <x:c r="E33" s="15" t="str">
        <x:v>Kết hợp</x:v>
      </x:c>
      <x:c r="F33" s="15" t="str">
        <x:v>Đang mở</x:v>
      </x:c>
      <x:c r="G33" s="19" t="n">
        <x:v>16</x:v>
      </x:c>
      <x:c r="H33" s="18" t="n">
        <x:v>750000</x:v>
      </x:c>
    </x:row>
    <x:row r="34" ht="27" customHeight="1" hidden="1">
      <x:c r="A34" s="15" t="str">
        <x:v>KH033</x:v>
      </x:c>
      <x:c r="B34" s="15" t="str">
        <x:v>Python 04</x:v>
      </x:c>
      <x:c r="C34" s="15" t="str">
        <x:v>CNTT</x:v>
      </x:c>
      <x:c r="D34" s="15" t="str">
        <x:v>Nâng cao</x:v>
      </x:c>
      <x:c r="E34" s="15" t="str">
        <x:v>Trực tuyến</x:v>
      </x:c>
      <x:c r="F34" s="15" t="str">
        <x:v>Đang mở</x:v>
      </x:c>
      <x:c r="G34" s="19" t="n">
        <x:v>18</x:v>
      </x:c>
      <x:c r="H34" s="18" t="n">
        <x:v>1000000</x:v>
      </x:c>
    </x:row>
    <x:row r="35" ht="27" customHeight="1" hidden="1">
      <x:c r="A35" s="15" t="str">
        <x:v>KH034</x:v>
      </x:c>
      <x:c r="B35" s="15" t="str">
        <x:v>Cơ sở dữ liệu 04</x:v>
      </x:c>
      <x:c r="C35" s="15" t="str">
        <x:v>QTKD</x:v>
      </x:c>
      <x:c r="D35" s="15" t="str">
        <x:v>Nâng cao</x:v>
      </x:c>
      <x:c r="E35" s="15" t="str">
        <x:v>Kết hợp</x:v>
      </x:c>
      <x:c r="F35" s="15" t="str">
        <x:v>Đang mở</x:v>
      </x:c>
      <x:c r="G35" s="19" t="n">
        <x:v>20</x:v>
      </x:c>
      <x:c r="H35" s="18" t="n">
        <x:v>1250000</x:v>
      </x:c>
    </x:row>
    <x:row r="36" ht="27" customHeight="1" hidden="1">
      <x:c r="A36" s="15" t="str">
        <x:v>KH035</x:v>
      </x:c>
      <x:c r="B36" s="15" t="str">
        <x:v>Cấu trúc dữ liệu 04</x:v>
      </x:c>
      <x:c r="C36" s="15" t="str">
        <x:v>DTVT</x:v>
      </x:c>
      <x:c r="D36" s="15" t="str">
        <x:v>Nâng cao</x:v>
      </x:c>
      <x:c r="E36" s="15" t="str">
        <x:v>Trực tuyến</x:v>
      </x:c>
      <x:c r="F36" s="15" t="str">
        <x:v>Đang mở</x:v>
      </x:c>
      <x:c r="G36" s="19" t="n">
        <x:v>22</x:v>
      </x:c>
      <x:c r="H36" s="18" t="n">
        <x:v>1500000</x:v>
      </x:c>
    </x:row>
    <x:row r="37" ht="27" customHeight="1" hidden="1">
      <x:c r="A37" s="15" t="str">
        <x:v>KH036</x:v>
      </x:c>
      <x:c r="B37" s="15" t="str">
        <x:v>Mạng máy tính 04</x:v>
      </x:c>
      <x:c r="C37" s="15" t="str">
        <x:v>CNTT</x:v>
      </x:c>
      <x:c r="D37" s="15" t="str">
        <x:v>Nâng cao</x:v>
      </x:c>
      <x:c r="E37" s="15" t="str">
        <x:v>Kết hợp</x:v>
      </x:c>
      <x:c r="F37" s="15" t="str">
        <x:v>Đã đóng</x:v>
      </x:c>
      <x:c r="G37" s="19" t="n">
        <x:v>24</x:v>
      </x:c>
      <x:c r="H37" s="18" t="n">
        <x:v>1750000</x:v>
      </x:c>
    </x:row>
    <x:row r="38" ht="27" customHeight="1">
      <x:c r="A38" s="15" t="str">
        <x:v>KH037</x:v>
      </x:c>
      <x:c r="B38" s="15" t="str">
        <x:v>Excel 04</x:v>
      </x:c>
      <x:c r="C38" s="15" t="str">
        <x:v>CNTT</x:v>
      </x:c>
      <x:c r="D38" s="15" t="str">
        <x:v>Cơ bản</x:v>
      </x:c>
      <x:c r="E38" s="15" t="str">
        <x:v>Trực tuyến</x:v>
      </x:c>
      <x:c r="F38" s="15" t="str">
        <x:v>Đang mở</x:v>
      </x:c>
      <x:c r="G38" s="19" t="n">
        <x:v>8</x:v>
      </x:c>
      <x:c r="H38" s="18" t="n">
        <x:v>500000</x:v>
      </x:c>
    </x:row>
    <x:row r="39" ht="27" customHeight="1" hidden="1">
      <x:c r="A39" s="15" t="str">
        <x:v>KH038</x:v>
      </x:c>
      <x:c r="B39" s="15" t="str">
        <x:v>Thiết kế UI UX 04</x:v>
      </x:c>
      <x:c r="C39" s="15" t="str">
        <x:v>QTKD</x:v>
      </x:c>
      <x:c r="D39" s="15" t="str">
        <x:v>Cơ bản</x:v>
      </x:c>
      <x:c r="E39" s="15" t="str">
        <x:v>Kết hợp</x:v>
      </x:c>
      <x:c r="F39" s="15" t="str">
        <x:v>Đang mở</x:v>
      </x:c>
      <x:c r="G39" s="19" t="n">
        <x:v>10</x:v>
      </x:c>
      <x:c r="H39" s="18" t="n">
        <x:v>750000</x:v>
      </x:c>
    </x:row>
    <x:row r="40" ht="27" customHeight="1" hidden="1">
      <x:c r="A40" s="15" t="str">
        <x:v>KH039</x:v>
      </x:c>
      <x:c r="B40" s="15" t="str">
        <x:v>Marketing số 04</x:v>
      </x:c>
      <x:c r="C40" s="15" t="str">
        <x:v>DTVT</x:v>
      </x:c>
      <x:c r="D40" s="15" t="str">
        <x:v>Cơ bản</x:v>
      </x:c>
      <x:c r="E40" s="15" t="str">
        <x:v>Trực tuyến</x:v>
      </x:c>
      <x:c r="F40" s="15" t="str">
        <x:v>Đang mở</x:v>
      </x:c>
      <x:c r="G40" s="19" t="n">
        <x:v>12</x:v>
      </x:c>
      <x:c r="H40" s="18" t="n">
        <x:v>1000000</x:v>
      </x:c>
    </x:row>
    <x:row r="41" ht="27" customHeight="1">
      <x:c r="A41" s="15" t="str">
        <x:v>KH040</x:v>
      </x:c>
      <x:c r="B41" s="15" t="str">
        <x:v>Tiếng Anh 04</x:v>
      </x:c>
      <x:c r="C41" s="15" t="str">
        <x:v>CNTT</x:v>
      </x:c>
      <x:c r="D41" s="15" t="str">
        <x:v>Cơ bản</x:v>
      </x:c>
      <x:c r="E41" s="15" t="str">
        <x:v>Kết hợp</x:v>
      </x:c>
      <x:c r="F41" s="15" t="str">
        <x:v>Đang mở</x:v>
      </x:c>
      <x:c r="G41" s="19" t="n">
        <x:v>14</x:v>
      </x:c>
      <x:c r="H41" s="18" t="n">
        <x:v>1250000</x:v>
      </x:c>
    </x:row>
    <x:row r="42" ht="27" customHeight="1" hidden="1">
      <x:c r="A42" s="15" t="str">
        <x:v>KH041</x:v>
      </x:c>
      <x:c r="B42" s="15" t="str">
        <x:v>HTML và CSS 05</x:v>
      </x:c>
      <x:c r="C42" s="15" t="str">
        <x:v>CNTT</x:v>
      </x:c>
      <x:c r="D42" s="15" t="str">
        <x:v>Trung cấp</x:v>
      </x:c>
      <x:c r="E42" s="15" t="str">
        <x:v>Trực tuyến</x:v>
      </x:c>
      <x:c r="F42" s="15" t="str">
        <x:v>Đã đóng</x:v>
      </x:c>
      <x:c r="G42" s="19" t="n">
        <x:v>16</x:v>
      </x:c>
      <x:c r="H42" s="18" t="n">
        <x:v>1500000</x:v>
      </x:c>
    </x:row>
    <x:row r="43" ht="27" customHeight="1" hidden="1">
      <x:c r="A43" s="15" t="str">
        <x:v>KH042</x:v>
      </x:c>
      <x:c r="B43" s="15" t="str">
        <x:v>JavaScript 05</x:v>
      </x:c>
      <x:c r="C43" s="15" t="str">
        <x:v>QTKD</x:v>
      </x:c>
      <x:c r="D43" s="15" t="str">
        <x:v>Trung cấp</x:v>
      </x:c>
      <x:c r="E43" s="15" t="str">
        <x:v>Kết hợp</x:v>
      </x:c>
      <x:c r="F43" s="15" t="str">
        <x:v>Đang mở</x:v>
      </x:c>
      <x:c r="G43" s="19" t="n">
        <x:v>18</x:v>
      </x:c>
      <x:c r="H43" s="18" t="n">
        <x:v>1750000</x:v>
      </x:c>
    </x:row>
    <x:row r="44" ht="27" customHeight="1" hidden="1">
      <x:c r="A44" s="15" t="str">
        <x:v>KH043</x:v>
      </x:c>
      <x:c r="B44" s="15" t="str">
        <x:v>Python 05</x:v>
      </x:c>
      <x:c r="C44" s="15" t="str">
        <x:v>DTVT</x:v>
      </x:c>
      <x:c r="D44" s="15" t="str">
        <x:v>Trung cấp</x:v>
      </x:c>
      <x:c r="E44" s="15" t="str">
        <x:v>Trực tuyến</x:v>
      </x:c>
      <x:c r="F44" s="15" t="str">
        <x:v>Đang mở</x:v>
      </x:c>
      <x:c r="G44" s="19" t="n">
        <x:v>20</x:v>
      </x:c>
      <x:c r="H44" s="18" t="n">
        <x:v>500000</x:v>
      </x:c>
    </x:row>
    <x:row r="45" ht="27" customHeight="1" hidden="1">
      <x:c r="A45" s="15" t="str">
        <x:v>KH044</x:v>
      </x:c>
      <x:c r="B45" s="15" t="str">
        <x:v>Cơ sở dữ liệu 05</x:v>
      </x:c>
      <x:c r="C45" s="15" t="str">
        <x:v>CNTT</x:v>
      </x:c>
      <x:c r="D45" s="15" t="str">
        <x:v>Trung cấp</x:v>
      </x:c>
      <x:c r="E45" s="15" t="str">
        <x:v>Kết hợp</x:v>
      </x:c>
      <x:c r="F45" s="15" t="str">
        <x:v>Đang mở</x:v>
      </x:c>
      <x:c r="G45" s="19" t="n">
        <x:v>22</x:v>
      </x:c>
      <x:c r="H45" s="18" t="n">
        <x:v>750000</x:v>
      </x:c>
    </x:row>
    <x:row r="46" ht="27" customHeight="1" hidden="1">
      <x:c r="A46" s="15" t="str">
        <x:v>KH045</x:v>
      </x:c>
      <x:c r="B46" s="15" t="str">
        <x:v>Cấu trúc dữ liệu 05</x:v>
      </x:c>
      <x:c r="C46" s="15" t="str">
        <x:v>CNTT</x:v>
      </x:c>
      <x:c r="D46" s="15" t="str">
        <x:v>Nâng cao</x:v>
      </x:c>
      <x:c r="E46" s="15" t="str">
        <x:v>Trực tuyến</x:v>
      </x:c>
      <x:c r="F46" s="15" t="str">
        <x:v>Đang mở</x:v>
      </x:c>
      <x:c r="G46" s="19" t="n">
        <x:v>24</x:v>
      </x:c>
      <x:c r="H46" s="18" t="n">
        <x:v>1000000</x:v>
      </x:c>
    </x:row>
    <x:row r="47" ht="27" customHeight="1" hidden="1">
      <x:c r="A47" s="15" t="str">
        <x:v>KH046</x:v>
      </x:c>
      <x:c r="B47" s="15" t="str">
        <x:v>Mạng máy tính 05</x:v>
      </x:c>
      <x:c r="C47" s="15" t="str">
        <x:v>QTKD</x:v>
      </x:c>
      <x:c r="D47" s="15" t="str">
        <x:v>Nâng cao</x:v>
      </x:c>
      <x:c r="E47" s="15" t="str">
        <x:v>Kết hợp</x:v>
      </x:c>
      <x:c r="F47" s="15" t="str">
        <x:v>Đã đóng</x:v>
      </x:c>
      <x:c r="G47" s="19" t="n">
        <x:v>8</x:v>
      </x:c>
      <x:c r="H47" s="18" t="n">
        <x:v>1250000</x:v>
      </x:c>
    </x:row>
    <x:row r="48" ht="27" customHeight="1" hidden="1">
      <x:c r="A48" s="15" t="str">
        <x:v>KH047</x:v>
      </x:c>
      <x:c r="B48" s="15" t="str">
        <x:v>Excel 05</x:v>
      </x:c>
      <x:c r="C48" s="15" t="str">
        <x:v>DTVT</x:v>
      </x:c>
      <x:c r="D48" s="15" t="str">
        <x:v>Nâng cao</x:v>
      </x:c>
      <x:c r="E48" s="15" t="str">
        <x:v>Trực tuyến</x:v>
      </x:c>
      <x:c r="F48" s="15" t="str">
        <x:v>Đang mở</x:v>
      </x:c>
      <x:c r="G48" s="19" t="n">
        <x:v>10</x:v>
      </x:c>
      <x:c r="H48" s="18" t="n">
        <x:v>1500000</x:v>
      </x:c>
    </x:row>
    <x:row r="49" ht="27" customHeight="1" hidden="1">
      <x:c r="A49" s="15" t="str">
        <x:v>KH048</x:v>
      </x:c>
      <x:c r="B49" s="15" t="str">
        <x:v>Thiết kế UI UX 05</x:v>
      </x:c>
      <x:c r="C49" s="15" t="str">
        <x:v>CNTT</x:v>
      </x:c>
      <x:c r="D49" s="15" t="str">
        <x:v>Nâng cao</x:v>
      </x:c>
      <x:c r="E49" s="15" t="str">
        <x:v>Kết hợp</x:v>
      </x:c>
      <x:c r="F49" s="15" t="str">
        <x:v>Đang mở</x:v>
      </x:c>
      <x:c r="G49" s="19" t="n">
        <x:v>12</x:v>
      </x:c>
      <x:c r="H49" s="18" t="n">
        <x:v>1750000</x:v>
      </x:c>
    </x:row>
    <x:row r="50" ht="27" customHeight="1">
      <x:c r="A50" s="15" t="str">
        <x:v>KH049</x:v>
      </x:c>
      <x:c r="B50" s="15" t="str">
        <x:v>Marketing số 05</x:v>
      </x:c>
      <x:c r="C50" s="15" t="str">
        <x:v>CNTT</x:v>
      </x:c>
      <x:c r="D50" s="15" t="str">
        <x:v>Cơ bản</x:v>
      </x:c>
      <x:c r="E50" s="15" t="str">
        <x:v>Trực tuyến</x:v>
      </x:c>
      <x:c r="F50" s="15" t="str">
        <x:v>Đang mở</x:v>
      </x:c>
      <x:c r="G50" s="19" t="n">
        <x:v>14</x:v>
      </x:c>
      <x:c r="H50" s="18" t="n">
        <x:v>500000</x:v>
      </x:c>
    </x:row>
    <x:row r="51" ht="27" customHeight="1" hidden="1">
      <x:c r="A51" s="15" t="str">
        <x:v>KH050</x:v>
      </x:c>
      <x:c r="B51" s="15" t="str">
        <x:v>Tiếng Anh 05</x:v>
      </x:c>
      <x:c r="C51" s="15" t="str">
        <x:v>QTKD</x:v>
      </x:c>
      <x:c r="D51" s="15" t="str">
        <x:v>Cơ bản</x:v>
      </x:c>
      <x:c r="E51" s="15" t="str">
        <x:v>Kết hợp</x:v>
      </x:c>
      <x:c r="F51" s="15" t="str">
        <x:v>Đang mở</x:v>
      </x:c>
      <x:c r="G51" s="19" t="n">
        <x:v>16</x:v>
      </x:c>
      <x:c r="H51" s="18" t="n">
        <x:v>750000</x:v>
      </x:c>
    </x:row>
    <x:row r="52" ht="27" customHeight="1" hidden="1">
      <x:c r="A52" s="15" t="str">
        <x:v>KH051</x:v>
      </x:c>
      <x:c r="B52" s="15" t="str">
        <x:v>HTML và CSS 06</x:v>
      </x:c>
      <x:c r="C52" s="15" t="str">
        <x:v>DTVT</x:v>
      </x:c>
      <x:c r="D52" s="15" t="str">
        <x:v>Cơ bản</x:v>
      </x:c>
      <x:c r="E52" s="15" t="str">
        <x:v>Trực tuyến</x:v>
      </x:c>
      <x:c r="F52" s="15" t="str">
        <x:v>Đã đóng</x:v>
      </x:c>
      <x:c r="G52" s="19" t="n">
        <x:v>18</x:v>
      </x:c>
      <x:c r="H52" s="18" t="n">
        <x:v>1000000</x:v>
      </x:c>
    </x:row>
    <x:row r="53" ht="27" customHeight="1">
      <x:c r="A53" s="15" t="str">
        <x:v>KH052</x:v>
      </x:c>
      <x:c r="B53" s="15" t="str">
        <x:v>JavaScript 06</x:v>
      </x:c>
      <x:c r="C53" s="15" t="str">
        <x:v>CNTT</x:v>
      </x:c>
      <x:c r="D53" s="15" t="str">
        <x:v>Cơ bản</x:v>
      </x:c>
      <x:c r="E53" s="15" t="str">
        <x:v>Kết hợp</x:v>
      </x:c>
      <x:c r="F53" s="15" t="str">
        <x:v>Đang mở</x:v>
      </x:c>
      <x:c r="G53" s="19" t="n">
        <x:v>20</x:v>
      </x:c>
      <x:c r="H53" s="18" t="n">
        <x:v>1250000</x:v>
      </x:c>
    </x:row>
    <x:row r="54" ht="27" customHeight="1" hidden="1">
      <x:c r="A54" s="15" t="str">
        <x:v>KH053</x:v>
      </x:c>
      <x:c r="B54" s="15" t="str">
        <x:v>Python 06</x:v>
      </x:c>
      <x:c r="C54" s="15" t="str">
        <x:v>CNTT</x:v>
      </x:c>
      <x:c r="D54" s="15" t="str">
        <x:v>Trung cấp</x:v>
      </x:c>
      <x:c r="E54" s="15" t="str">
        <x:v>Trực tuyến</x:v>
      </x:c>
      <x:c r="F54" s="15" t="str">
        <x:v>Đang mở</x:v>
      </x:c>
      <x:c r="G54" s="19" t="n">
        <x:v>22</x:v>
      </x:c>
      <x:c r="H54" s="18" t="n">
        <x:v>1500000</x:v>
      </x:c>
    </x:row>
    <x:row r="55" ht="27" customHeight="1" hidden="1">
      <x:c r="A55" s="15" t="str">
        <x:v>KH054</x:v>
      </x:c>
      <x:c r="B55" s="15" t="str">
        <x:v>Cơ sở dữ liệu 06</x:v>
      </x:c>
      <x:c r="C55" s="15" t="str">
        <x:v>QTKD</x:v>
      </x:c>
      <x:c r="D55" s="15" t="str">
        <x:v>Trung cấp</x:v>
      </x:c>
      <x:c r="E55" s="15" t="str">
        <x:v>Kết hợp</x:v>
      </x:c>
      <x:c r="F55" s="15" t="str">
        <x:v>Đang mở</x:v>
      </x:c>
      <x:c r="G55" s="19" t="n">
        <x:v>24</x:v>
      </x:c>
      <x:c r="H55" s="18" t="n">
        <x:v>1750000</x:v>
      </x:c>
    </x:row>
    <x:row r="56" ht="27" customHeight="1" hidden="1">
      <x:c r="A56" s="15" t="str">
        <x:v>KH055</x:v>
      </x:c>
      <x:c r="B56" s="15" t="str">
        <x:v>Cấu trúc dữ liệu 06</x:v>
      </x:c>
      <x:c r="C56" s="15" t="str">
        <x:v>DTVT</x:v>
      </x:c>
      <x:c r="D56" s="15" t="str">
        <x:v>Trung cấp</x:v>
      </x:c>
      <x:c r="E56" s="15" t="str">
        <x:v>Trực tuyến</x:v>
      </x:c>
      <x:c r="F56" s="15" t="str">
        <x:v>Đang mở</x:v>
      </x:c>
      <x:c r="G56" s="19" t="n">
        <x:v>8</x:v>
      </x:c>
      <x:c r="H56" s="18" t="n">
        <x:v>500000</x:v>
      </x:c>
    </x:row>
    <x:row r="57" ht="27" customHeight="1" hidden="1">
      <x:c r="A57" s="15" t="str">
        <x:v>KH056</x:v>
      </x:c>
      <x:c r="B57" s="15" t="str">
        <x:v>Mạng máy tính 06</x:v>
      </x:c>
      <x:c r="C57" s="15" t="str">
        <x:v>CNTT</x:v>
      </x:c>
      <x:c r="D57" s="15" t="str">
        <x:v>Trung cấp</x:v>
      </x:c>
      <x:c r="E57" s="15" t="str">
        <x:v>Kết hợp</x:v>
      </x:c>
      <x:c r="F57" s="15" t="str">
        <x:v>Đã đóng</x:v>
      </x:c>
      <x:c r="G57" s="19" t="n">
        <x:v>10</x:v>
      </x:c>
      <x:c r="H57" s="18" t="n">
        <x:v>750000</x:v>
      </x:c>
    </x:row>
    <x:row r="58" ht="27" customHeight="1" hidden="1">
      <x:c r="A58" s="15" t="str">
        <x:v>KH057</x:v>
      </x:c>
      <x:c r="B58" s="15" t="str">
        <x:v>Excel 06</x:v>
      </x:c>
      <x:c r="C58" s="15" t="str">
        <x:v>CNTT</x:v>
      </x:c>
      <x:c r="D58" s="15" t="str">
        <x:v>Nâng cao</x:v>
      </x:c>
      <x:c r="E58" s="15" t="str">
        <x:v>Trực tuyến</x:v>
      </x:c>
      <x:c r="F58" s="15" t="str">
        <x:v>Đang mở</x:v>
      </x:c>
      <x:c r="G58" s="19" t="n">
        <x:v>12</x:v>
      </x:c>
      <x:c r="H58" s="18" t="n">
        <x:v>1000000</x:v>
      </x:c>
    </x:row>
    <x:row r="59" ht="27" customHeight="1" hidden="1">
      <x:c r="A59" s="15" t="str">
        <x:v>KH058</x:v>
      </x:c>
      <x:c r="B59" s="15" t="str">
        <x:v>Thiết kế UI UX 06</x:v>
      </x:c>
      <x:c r="C59" s="15" t="str">
        <x:v>QTKD</x:v>
      </x:c>
      <x:c r="D59" s="15" t="str">
        <x:v>Nâng cao</x:v>
      </x:c>
      <x:c r="E59" s="15" t="str">
        <x:v>Kết hợp</x:v>
      </x:c>
      <x:c r="F59" s="15" t="str">
        <x:v>Đang mở</x:v>
      </x:c>
      <x:c r="G59" s="19" t="n">
        <x:v>14</x:v>
      </x:c>
      <x:c r="H59" s="18" t="n">
        <x:v>1250000</x:v>
      </x:c>
    </x:row>
    <x:row r="60" ht="27" customHeight="1" hidden="1">
      <x:c r="A60" s="15" t="str">
        <x:v>KH059</x:v>
      </x:c>
      <x:c r="B60" s="15" t="str">
        <x:v>Marketing số 06</x:v>
      </x:c>
      <x:c r="C60" s="15" t="str">
        <x:v>DTVT</x:v>
      </x:c>
      <x:c r="D60" s="15" t="str">
        <x:v>Nâng cao</x:v>
      </x:c>
      <x:c r="E60" s="15" t="str">
        <x:v>Trực tuyến</x:v>
      </x:c>
      <x:c r="F60" s="15" t="str">
        <x:v>Đang mở</x:v>
      </x:c>
      <x:c r="G60" s="19" t="n">
        <x:v>16</x:v>
      </x:c>
      <x:c r="H60" s="18" t="n">
        <x:v>1500000</x:v>
      </x:c>
    </x:row>
    <x:row r="61" ht="27" customHeight="1" hidden="1">
      <x:c r="A61" s="15" t="str">
        <x:v>KH060</x:v>
      </x:c>
      <x:c r="B61" s="15" t="str">
        <x:v>Tiếng Anh 06</x:v>
      </x:c>
      <x:c r="C61" s="15" t="str">
        <x:v>CNTT</x:v>
      </x:c>
      <x:c r="D61" s="15" t="str">
        <x:v>Nâng cao</x:v>
      </x:c>
      <x:c r="E61" s="15" t="str">
        <x:v>Kết hợp</x:v>
      </x:c>
      <x:c r="F61" s="15" t="str">
        <x:v>Đang mở</x:v>
      </x:c>
      <x:c r="G61" s="19" t="n">
        <x:v>18</x:v>
      </x:c>
      <x:c r="H61" s="18" t="n">
        <x:v>1750000</x:v>
      </x:c>
    </x:row>
    <x:row r="62" ht="27" customHeight="1" hidden="1">
      <x:c r="A62" s="15" t="str">
        <x:v>KH061</x:v>
      </x:c>
      <x:c r="B62" s="15" t="str">
        <x:v>HTML và CSS 07</x:v>
      </x:c>
      <x:c r="C62" s="15" t="str">
        <x:v>CNTT</x:v>
      </x:c>
      <x:c r="D62" s="15" t="str">
        <x:v>Cơ bản</x:v>
      </x:c>
      <x:c r="E62" s="15" t="str">
        <x:v>Trực tuyến</x:v>
      </x:c>
      <x:c r="F62" s="15" t="str">
        <x:v>Đã đóng</x:v>
      </x:c>
      <x:c r="G62" s="19" t="n">
        <x:v>20</x:v>
      </x:c>
      <x:c r="H62" s="18" t="n">
        <x:v>500000</x:v>
      </x:c>
    </x:row>
    <x:row r="63" ht="27" customHeight="1" hidden="1">
      <x:c r="A63" s="15" t="str">
        <x:v>KH062</x:v>
      </x:c>
      <x:c r="B63" s="15" t="str">
        <x:v>JavaScript 07</x:v>
      </x:c>
      <x:c r="C63" s="15" t="str">
        <x:v>QTKD</x:v>
      </x:c>
      <x:c r="D63" s="15" t="str">
        <x:v>Cơ bản</x:v>
      </x:c>
      <x:c r="E63" s="15" t="str">
        <x:v>Kết hợp</x:v>
      </x:c>
      <x:c r="F63" s="15" t="str">
        <x:v>Đang mở</x:v>
      </x:c>
      <x:c r="G63" s="19" t="n">
        <x:v>22</x:v>
      </x:c>
      <x:c r="H63" s="18" t="n">
        <x:v>750000</x:v>
      </x:c>
    </x:row>
    <x:row r="64" ht="27" customHeight="1" hidden="1">
      <x:c r="A64" s="15" t="str">
        <x:v>KH063</x:v>
      </x:c>
      <x:c r="B64" s="15" t="str">
        <x:v>Python 07</x:v>
      </x:c>
      <x:c r="C64" s="15" t="str">
        <x:v>DTVT</x:v>
      </x:c>
      <x:c r="D64" s="15" t="str">
        <x:v>Cơ bản</x:v>
      </x:c>
      <x:c r="E64" s="15" t="str">
        <x:v>Trực tuyến</x:v>
      </x:c>
      <x:c r="F64" s="15" t="str">
        <x:v>Đang mở</x:v>
      </x:c>
      <x:c r="G64" s="19" t="n">
        <x:v>24</x:v>
      </x:c>
      <x:c r="H64" s="18" t="n">
        <x:v>1000000</x:v>
      </x:c>
    </x:row>
    <x:row r="65" ht="27" customHeight="1">
      <x:c r="A65" s="15" t="str">
        <x:v>KH064</x:v>
      </x:c>
      <x:c r="B65" s="15" t="str">
        <x:v>Cơ sở dữ liệu 07</x:v>
      </x:c>
      <x:c r="C65" s="15" t="str">
        <x:v>CNTT</x:v>
      </x:c>
      <x:c r="D65" s="15" t="str">
        <x:v>Cơ bản</x:v>
      </x:c>
      <x:c r="E65" s="15" t="str">
        <x:v>Kết hợp</x:v>
      </x:c>
      <x:c r="F65" s="15" t="str">
        <x:v>Đang mở</x:v>
      </x:c>
      <x:c r="G65" s="19" t="n">
        <x:v>8</x:v>
      </x:c>
      <x:c r="H65" s="18" t="n">
        <x:v>1250000</x:v>
      </x:c>
    </x:row>
    <x:row r="66" ht="27" customHeight="1" hidden="1">
      <x:c r="A66" s="15" t="str">
        <x:v>KH065</x:v>
      </x:c>
      <x:c r="B66" s="15" t="str">
        <x:v>Cấu trúc dữ liệu 07</x:v>
      </x:c>
      <x:c r="C66" s="15" t="str">
        <x:v>CNTT</x:v>
      </x:c>
      <x:c r="D66" s="15" t="str">
        <x:v>Trung cấp</x:v>
      </x:c>
      <x:c r="E66" s="15" t="str">
        <x:v>Trực tuyến</x:v>
      </x:c>
      <x:c r="F66" s="15" t="str">
        <x:v>Đang mở</x:v>
      </x:c>
      <x:c r="G66" s="19" t="n">
        <x:v>10</x:v>
      </x:c>
      <x:c r="H66" s="18" t="n">
        <x:v>1500000</x:v>
      </x:c>
    </x:row>
    <x:row r="67" ht="27" customHeight="1" hidden="1">
      <x:c r="A67" s="15" t="str">
        <x:v>KH066</x:v>
      </x:c>
      <x:c r="B67" s="15" t="str">
        <x:v>Mạng máy tính 07</x:v>
      </x:c>
      <x:c r="C67" s="15" t="str">
        <x:v>QTKD</x:v>
      </x:c>
      <x:c r="D67" s="15" t="str">
        <x:v>Trung cấp</x:v>
      </x:c>
      <x:c r="E67" s="15" t="str">
        <x:v>Kết hợp</x:v>
      </x:c>
      <x:c r="F67" s="15" t="str">
        <x:v>Đã đóng</x:v>
      </x:c>
      <x:c r="G67" s="19" t="n">
        <x:v>12</x:v>
      </x:c>
      <x:c r="H67" s="18" t="n">
        <x:v>1750000</x:v>
      </x:c>
    </x:row>
    <x:row r="68" ht="27" customHeight="1" hidden="1">
      <x:c r="A68" s="15" t="str">
        <x:v>KH067</x:v>
      </x:c>
      <x:c r="B68" s="15" t="str">
        <x:v>Excel 07</x:v>
      </x:c>
      <x:c r="C68" s="15" t="str">
        <x:v>DTVT</x:v>
      </x:c>
      <x:c r="D68" s="15" t="str">
        <x:v>Trung cấp</x:v>
      </x:c>
      <x:c r="E68" s="15" t="str">
        <x:v>Trực tuyến</x:v>
      </x:c>
      <x:c r="F68" s="15" t="str">
        <x:v>Đang mở</x:v>
      </x:c>
      <x:c r="G68" s="19" t="n">
        <x:v>14</x:v>
      </x:c>
      <x:c r="H68" s="18" t="n">
        <x:v>500000</x:v>
      </x:c>
    </x:row>
    <x:row r="69" ht="27" customHeight="1" hidden="1">
      <x:c r="A69" s="15" t="str">
        <x:v>KH068</x:v>
      </x:c>
      <x:c r="B69" s="15" t="str">
        <x:v>Thiết kế UI UX 07</x:v>
      </x:c>
      <x:c r="C69" s="15" t="str">
        <x:v>CNTT</x:v>
      </x:c>
      <x:c r="D69" s="15" t="str">
        <x:v>Trung cấp</x:v>
      </x:c>
      <x:c r="E69" s="15" t="str">
        <x:v>Kết hợp</x:v>
      </x:c>
      <x:c r="F69" s="15" t="str">
        <x:v>Đang mở</x:v>
      </x:c>
      <x:c r="G69" s="19" t="n">
        <x:v>16</x:v>
      </x:c>
      <x:c r="H69" s="18" t="n">
        <x:v>750000</x:v>
      </x:c>
    </x:row>
    <x:row r="70" ht="27" customHeight="1" hidden="1">
      <x:c r="A70" s="15" t="str">
        <x:v>KH069</x:v>
      </x:c>
      <x:c r="B70" s="15" t="str">
        <x:v>Marketing số 07</x:v>
      </x:c>
      <x:c r="C70" s="15" t="str">
        <x:v>CNTT</x:v>
      </x:c>
      <x:c r="D70" s="15" t="str">
        <x:v>Nâng cao</x:v>
      </x:c>
      <x:c r="E70" s="15" t="str">
        <x:v>Trực tuyến</x:v>
      </x:c>
      <x:c r="F70" s="15" t="str">
        <x:v>Đang mở</x:v>
      </x:c>
      <x:c r="G70" s="19" t="n">
        <x:v>18</x:v>
      </x:c>
      <x:c r="H70" s="18" t="n">
        <x:v>1000000</x:v>
      </x:c>
    </x:row>
    <x:row r="71" ht="27" customHeight="1" hidden="1">
      <x:c r="A71" s="15" t="str">
        <x:v>KH070</x:v>
      </x:c>
      <x:c r="B71" s="15" t="str">
        <x:v>Tiếng Anh 07</x:v>
      </x:c>
      <x:c r="C71" s="15" t="str">
        <x:v>QTKD</x:v>
      </x:c>
      <x:c r="D71" s="15" t="str">
        <x:v>Nâng cao</x:v>
      </x:c>
      <x:c r="E71" s="15" t="str">
        <x:v>Kết hợp</x:v>
      </x:c>
      <x:c r="F71" s="15" t="str">
        <x:v>Đang mở</x:v>
      </x:c>
      <x:c r="G71" s="19" t="n">
        <x:v>20</x:v>
      </x:c>
      <x:c r="H71" s="18" t="n">
        <x:v>1250000</x:v>
      </x:c>
    </x:row>
    <x:row r="72" ht="27" customHeight="1" hidden="1">
      <x:c r="A72" s="15" t="str">
        <x:v>KH071</x:v>
      </x:c>
      <x:c r="B72" s="15" t="str">
        <x:v>HTML và CSS 08</x:v>
      </x:c>
      <x:c r="C72" s="15" t="str">
        <x:v>DTVT</x:v>
      </x:c>
      <x:c r="D72" s="15" t="str">
        <x:v>Nâng cao</x:v>
      </x:c>
      <x:c r="E72" s="15" t="str">
        <x:v>Trực tuyến</x:v>
      </x:c>
      <x:c r="F72" s="15" t="str">
        <x:v>Đã đóng</x:v>
      </x:c>
      <x:c r="G72" s="19" t="n">
        <x:v>22</x:v>
      </x:c>
      <x:c r="H72" s="18" t="n">
        <x:v>1500000</x:v>
      </x:c>
    </x:row>
    <x:row r="73" ht="27" customHeight="1" hidden="1">
      <x:c r="A73" s="15" t="str">
        <x:v>KH072</x:v>
      </x:c>
      <x:c r="B73" s="15" t="str">
        <x:v>JavaScript 08</x:v>
      </x:c>
      <x:c r="C73" s="15" t="str">
        <x:v>CNTT</x:v>
      </x:c>
      <x:c r="D73" s="15" t="str">
        <x:v>Nâng cao</x:v>
      </x:c>
      <x:c r="E73" s="15" t="str">
        <x:v>Kết hợp</x:v>
      </x:c>
      <x:c r="F73" s="15" t="str">
        <x:v>Đang mở</x:v>
      </x:c>
      <x:c r="G73" s="19" t="n">
        <x:v>24</x:v>
      </x:c>
      <x:c r="H73" s="18" t="n">
        <x:v>1750000</x:v>
      </x:c>
    </x:row>
    <x:row r="74" ht="27" customHeight="1">
      <x:c r="A74" s="15" t="str">
        <x:v>KH073</x:v>
      </x:c>
      <x:c r="B74" s="15" t="str">
        <x:v>Python 08</x:v>
      </x:c>
      <x:c r="C74" s="15" t="str">
        <x:v>CNTT</x:v>
      </x:c>
      <x:c r="D74" s="15" t="str">
        <x:v>Cơ bản</x:v>
      </x:c>
      <x:c r="E74" s="15" t="str">
        <x:v>Trực tuyến</x:v>
      </x:c>
      <x:c r="F74" s="15" t="str">
        <x:v>Đang mở</x:v>
      </x:c>
      <x:c r="G74" s="19" t="n">
        <x:v>8</x:v>
      </x:c>
      <x:c r="H74" s="18" t="n">
        <x:v>500000</x:v>
      </x:c>
    </x:row>
    <x:row r="75" ht="27" customHeight="1" hidden="1">
      <x:c r="A75" s="15" t="str">
        <x:v>KH074</x:v>
      </x:c>
      <x:c r="B75" s="15" t="str">
        <x:v>Cơ sở dữ liệu 08</x:v>
      </x:c>
      <x:c r="C75" s="15" t="str">
        <x:v>QTKD</x:v>
      </x:c>
      <x:c r="D75" s="15" t="str">
        <x:v>Cơ bản</x:v>
      </x:c>
      <x:c r="E75" s="15" t="str">
        <x:v>Kết hợp</x:v>
      </x:c>
      <x:c r="F75" s="15" t="str">
        <x:v>Đang mở</x:v>
      </x:c>
      <x:c r="G75" s="19" t="n">
        <x:v>10</x:v>
      </x:c>
      <x:c r="H75" s="18" t="n">
        <x:v>750000</x:v>
      </x:c>
    </x:row>
    <x:row r="76" ht="27" customHeight="1" hidden="1">
      <x:c r="A76" s="15" t="str">
        <x:v>KH075</x:v>
      </x:c>
      <x:c r="B76" s="15" t="str">
        <x:v>Cấu trúc dữ liệu 08</x:v>
      </x:c>
      <x:c r="C76" s="15" t="str">
        <x:v>DTVT</x:v>
      </x:c>
      <x:c r="D76" s="15" t="str">
        <x:v>Cơ bản</x:v>
      </x:c>
      <x:c r="E76" s="15" t="str">
        <x:v>Trực tuyến</x:v>
      </x:c>
      <x:c r="F76" s="15" t="str">
        <x:v>Đang mở</x:v>
      </x:c>
      <x:c r="G76" s="19" t="n">
        <x:v>12</x:v>
      </x:c>
      <x:c r="H76" s="18" t="n">
        <x:v>1000000</x:v>
      </x:c>
    </x:row>
    <x:row r="77" ht="27" customHeight="1" hidden="1">
      <x:c r="A77" s="15" t="str">
        <x:v>KH076</x:v>
      </x:c>
      <x:c r="B77" s="15" t="str">
        <x:v>Mạng máy tính 08</x:v>
      </x:c>
      <x:c r="C77" s="15" t="str">
        <x:v>CNTT</x:v>
      </x:c>
      <x:c r="D77" s="15" t="str">
        <x:v>Cơ bản</x:v>
      </x:c>
      <x:c r="E77" s="15" t="str">
        <x:v>Kết hợp</x:v>
      </x:c>
      <x:c r="F77" s="15" t="str">
        <x:v>Đã đóng</x:v>
      </x:c>
      <x:c r="G77" s="19" t="n">
        <x:v>14</x:v>
      </x:c>
      <x:c r="H77" s="18" t="n">
        <x:v>1250000</x:v>
      </x:c>
    </x:row>
    <x:row r="78" ht="27" customHeight="1" hidden="1">
      <x:c r="A78" s="15" t="str">
        <x:v>KH077</x:v>
      </x:c>
      <x:c r="B78" s="15" t="str">
        <x:v>Excel 08</x:v>
      </x:c>
      <x:c r="C78" s="15" t="str">
        <x:v>CNTT</x:v>
      </x:c>
      <x:c r="D78" s="15" t="str">
        <x:v>Trung cấp</x:v>
      </x:c>
      <x:c r="E78" s="15" t="str">
        <x:v>Trực tuyến</x:v>
      </x:c>
      <x:c r="F78" s="15" t="str">
        <x:v>Đang mở</x:v>
      </x:c>
      <x:c r="G78" s="19" t="n">
        <x:v>16</x:v>
      </x:c>
      <x:c r="H78" s="18" t="n">
        <x:v>1500000</x:v>
      </x:c>
    </x:row>
    <x:row r="79" ht="27" customHeight="1" hidden="1">
      <x:c r="A79" s="15" t="str">
        <x:v>KH078</x:v>
      </x:c>
      <x:c r="B79" s="15" t="str">
        <x:v>Thiết kế UI UX 08</x:v>
      </x:c>
      <x:c r="C79" s="15" t="str">
        <x:v>QTKD</x:v>
      </x:c>
      <x:c r="D79" s="15" t="str">
        <x:v>Trung cấp</x:v>
      </x:c>
      <x:c r="E79" s="15" t="str">
        <x:v>Kết hợp</x:v>
      </x:c>
      <x:c r="F79" s="15" t="str">
        <x:v>Đang mở</x:v>
      </x:c>
      <x:c r="G79" s="19" t="n">
        <x:v>18</x:v>
      </x:c>
      <x:c r="H79" s="18" t="n">
        <x:v>1750000</x:v>
      </x:c>
    </x:row>
    <x:row r="80" ht="27" customHeight="1" hidden="1">
      <x:c r="A80" s="15" t="str">
        <x:v>KH079</x:v>
      </x:c>
      <x:c r="B80" s="15" t="str">
        <x:v>Marketing số 08</x:v>
      </x:c>
      <x:c r="C80" s="15" t="str">
        <x:v>DTVT</x:v>
      </x:c>
      <x:c r="D80" s="15" t="str">
        <x:v>Trung cấp</x:v>
      </x:c>
      <x:c r="E80" s="15" t="str">
        <x:v>Trực tuyến</x:v>
      </x:c>
      <x:c r="F80" s="15" t="str">
        <x:v>Đang mở</x:v>
      </x:c>
      <x:c r="G80" s="19" t="n">
        <x:v>20</x:v>
      </x:c>
      <x:c r="H80" s="18" t="n">
        <x:v>500000</x:v>
      </x:c>
    </x:row>
    <x:row r="81" ht="27" customHeight="1" hidden="1">
      <x:c r="A81" s="15" t="str">
        <x:v>KH080</x:v>
      </x:c>
      <x:c r="B81" s="15" t="str">
        <x:v>Tiếng Anh 08</x:v>
      </x:c>
      <x:c r="C81" s="15" t="str">
        <x:v>CNTT</x:v>
      </x:c>
      <x:c r="D81" s="15" t="str">
        <x:v>Trung cấp</x:v>
      </x:c>
      <x:c r="E81" s="15" t="str">
        <x:v>Kết hợp</x:v>
      </x:c>
      <x:c r="F81" s="15" t="str">
        <x:v>Đang mở</x:v>
      </x:c>
      <x:c r="G81" s="19" t="n">
        <x:v>22</x:v>
      </x:c>
      <x:c r="H81" s="18" t="n">
        <x:v>750000</x:v>
      </x:c>
    </x:row>
    <x:row r="82" ht="27" customHeight="1" hidden="1">
      <x:c r="A82" s="15" t="str">
        <x:v>KH081</x:v>
      </x:c>
      <x:c r="B82" s="15" t="str">
        <x:v>HTML và CSS 09</x:v>
      </x:c>
      <x:c r="C82" s="15" t="str">
        <x:v>CNTT</x:v>
      </x:c>
      <x:c r="D82" s="15" t="str">
        <x:v>Nâng cao</x:v>
      </x:c>
      <x:c r="E82" s="15" t="str">
        <x:v>Trực tuyến</x:v>
      </x:c>
      <x:c r="F82" s="15" t="str">
        <x:v>Đã đóng</x:v>
      </x:c>
      <x:c r="G82" s="19" t="n">
        <x:v>24</x:v>
      </x:c>
      <x:c r="H82" s="18" t="n">
        <x:v>1000000</x:v>
      </x:c>
    </x:row>
    <x:row r="83" ht="27" customHeight="1" hidden="1">
      <x:c r="A83" s="15" t="str">
        <x:v>KH082</x:v>
      </x:c>
      <x:c r="B83" s="15" t="str">
        <x:v>JavaScript 09</x:v>
      </x:c>
      <x:c r="C83" s="15" t="str">
        <x:v>QTKD</x:v>
      </x:c>
      <x:c r="D83" s="15" t="str">
        <x:v>Nâng cao</x:v>
      </x:c>
      <x:c r="E83" s="15" t="str">
        <x:v>Kết hợp</x:v>
      </x:c>
      <x:c r="F83" s="15" t="str">
        <x:v>Đang mở</x:v>
      </x:c>
      <x:c r="G83" s="19" t="n">
        <x:v>8</x:v>
      </x:c>
      <x:c r="H83" s="18" t="n">
        <x:v>1250000</x:v>
      </x:c>
    </x:row>
    <x:row r="84" ht="27" customHeight="1" hidden="1">
      <x:c r="A84" s="15" t="str">
        <x:v>KH083</x:v>
      </x:c>
      <x:c r="B84" s="15" t="str">
        <x:v>Python 09</x:v>
      </x:c>
      <x:c r="C84" s="15" t="str">
        <x:v>DTVT</x:v>
      </x:c>
      <x:c r="D84" s="15" t="str">
        <x:v>Nâng cao</x:v>
      </x:c>
      <x:c r="E84" s="15" t="str">
        <x:v>Trực tuyến</x:v>
      </x:c>
      <x:c r="F84" s="15" t="str">
        <x:v>Đang mở</x:v>
      </x:c>
      <x:c r="G84" s="19" t="n">
        <x:v>10</x:v>
      </x:c>
      <x:c r="H84" s="18" t="n">
        <x:v>1500000</x:v>
      </x:c>
    </x:row>
    <x:row r="85" ht="27" customHeight="1" hidden="1">
      <x:c r="A85" s="15" t="str">
        <x:v>KH084</x:v>
      </x:c>
      <x:c r="B85" s="15" t="str">
        <x:v>Cơ sở dữ liệu 09</x:v>
      </x:c>
      <x:c r="C85" s="15" t="str">
        <x:v>CNTT</x:v>
      </x:c>
      <x:c r="D85" s="15" t="str">
        <x:v>Nâng cao</x:v>
      </x:c>
      <x:c r="E85" s="15" t="str">
        <x:v>Kết hợp</x:v>
      </x:c>
      <x:c r="F85" s="15" t="str">
        <x:v>Đang mở</x:v>
      </x:c>
      <x:c r="G85" s="19" t="n">
        <x:v>12</x:v>
      </x:c>
      <x:c r="H85" s="18" t="n">
        <x:v>1750000</x:v>
      </x:c>
    </x:row>
    <x:row r="86" ht="27" customHeight="1">
      <x:c r="A86" s="15" t="str">
        <x:v>KH085</x:v>
      </x:c>
      <x:c r="B86" s="15" t="str">
        <x:v>Cấu trúc dữ liệu 09</x:v>
      </x:c>
      <x:c r="C86" s="15" t="str">
        <x:v>CNTT</x:v>
      </x:c>
      <x:c r="D86" s="15" t="str">
        <x:v>Cơ bản</x:v>
      </x:c>
      <x:c r="E86" s="15" t="str">
        <x:v>Trực tuyến</x:v>
      </x:c>
      <x:c r="F86" s="15" t="str">
        <x:v>Đang mở</x:v>
      </x:c>
      <x:c r="G86" s="19" t="n">
        <x:v>14</x:v>
      </x:c>
      <x:c r="H86" s="18" t="n">
        <x:v>500000</x:v>
      </x:c>
    </x:row>
    <x:row r="87" ht="27" customHeight="1" hidden="1">
      <x:c r="A87" s="15" t="str">
        <x:v>KH086</x:v>
      </x:c>
      <x:c r="B87" s="15" t="str">
        <x:v>Mạng máy tính 09</x:v>
      </x:c>
      <x:c r="C87" s="15" t="str">
        <x:v>QTKD</x:v>
      </x:c>
      <x:c r="D87" s="15" t="str">
        <x:v>Cơ bản</x:v>
      </x:c>
      <x:c r="E87" s="15" t="str">
        <x:v>Kết hợp</x:v>
      </x:c>
      <x:c r="F87" s="15" t="str">
        <x:v>Đã đóng</x:v>
      </x:c>
      <x:c r="G87" s="19" t="n">
        <x:v>16</x:v>
      </x:c>
      <x:c r="H87" s="18" t="n">
        <x:v>750000</x:v>
      </x:c>
    </x:row>
    <x:row r="88" ht="27" customHeight="1" hidden="1">
      <x:c r="A88" s="15" t="str">
        <x:v>KH087</x:v>
      </x:c>
      <x:c r="B88" s="15" t="str">
        <x:v>Excel 09</x:v>
      </x:c>
      <x:c r="C88" s="15" t="str">
        <x:v>DTVT</x:v>
      </x:c>
      <x:c r="D88" s="15" t="str">
        <x:v>Cơ bản</x:v>
      </x:c>
      <x:c r="E88" s="15" t="str">
        <x:v>Trực tuyến</x:v>
      </x:c>
      <x:c r="F88" s="15" t="str">
        <x:v>Đang mở</x:v>
      </x:c>
      <x:c r="G88" s="19" t="n">
        <x:v>18</x:v>
      </x:c>
      <x:c r="H88" s="18" t="n">
        <x:v>1000000</x:v>
      </x:c>
    </x:row>
    <x:row r="89" ht="27" customHeight="1">
      <x:c r="A89" s="15" t="str">
        <x:v>KH088</x:v>
      </x:c>
      <x:c r="B89" s="15" t="str">
        <x:v>Thiết kế UI UX 09</x:v>
      </x:c>
      <x:c r="C89" s="15" t="str">
        <x:v>CNTT</x:v>
      </x:c>
      <x:c r="D89" s="15" t="str">
        <x:v>Cơ bản</x:v>
      </x:c>
      <x:c r="E89" s="15" t="str">
        <x:v>Kết hợp</x:v>
      </x:c>
      <x:c r="F89" s="15" t="str">
        <x:v>Đang mở</x:v>
      </x:c>
      <x:c r="G89" s="19" t="n">
        <x:v>20</x:v>
      </x:c>
      <x:c r="H89" s="18" t="n">
        <x:v>1250000</x:v>
      </x:c>
    </x:row>
    <x:row r="90" ht="27" customHeight="1" hidden="1">
      <x:c r="A90" s="15" t="str">
        <x:v>KH089</x:v>
      </x:c>
      <x:c r="B90" s="15" t="str">
        <x:v>Marketing số 09</x:v>
      </x:c>
      <x:c r="C90" s="15" t="str">
        <x:v>CNTT</x:v>
      </x:c>
      <x:c r="D90" s="15" t="str">
        <x:v>Trung cấp</x:v>
      </x:c>
      <x:c r="E90" s="15" t="str">
        <x:v>Trực tuyến</x:v>
      </x:c>
      <x:c r="F90" s="15" t="str">
        <x:v>Đang mở</x:v>
      </x:c>
      <x:c r="G90" s="19" t="n">
        <x:v>22</x:v>
      </x:c>
      <x:c r="H90" s="18" t="n">
        <x:v>1500000</x:v>
      </x:c>
    </x:row>
    <x:row r="91" ht="27" customHeight="1" hidden="1">
      <x:c r="A91" s="15" t="str">
        <x:v>KH090</x:v>
      </x:c>
      <x:c r="B91" s="15" t="str">
        <x:v>Tiếng Anh 09</x:v>
      </x:c>
      <x:c r="C91" s="15" t="str">
        <x:v>QTKD</x:v>
      </x:c>
      <x:c r="D91" s="15" t="str">
        <x:v>Trung cấp</x:v>
      </x:c>
      <x:c r="E91" s="15" t="str">
        <x:v>Kết hợp</x:v>
      </x:c>
      <x:c r="F91" s="15" t="str">
        <x:v>Đang mở</x:v>
      </x:c>
      <x:c r="G91" s="19" t="n">
        <x:v>24</x:v>
      </x:c>
      <x:c r="H91" s="18" t="n">
        <x:v>1750000</x:v>
      </x:c>
    </x:row>
    <x:row r="92" ht="27" customHeight="1" hidden="1">
      <x:c r="A92" s="15" t="str">
        <x:v>KH091</x:v>
      </x:c>
      <x:c r="B92" s="15" t="str">
        <x:v>HTML và CSS 10</x:v>
      </x:c>
      <x:c r="C92" s="15" t="str">
        <x:v>DTVT</x:v>
      </x:c>
      <x:c r="D92" s="15" t="str">
        <x:v>Trung cấp</x:v>
      </x:c>
      <x:c r="E92" s="15" t="str">
        <x:v>Trực tuyến</x:v>
      </x:c>
      <x:c r="F92" s="15" t="str">
        <x:v>Đã đóng</x:v>
      </x:c>
      <x:c r="G92" s="19" t="n">
        <x:v>8</x:v>
      </x:c>
      <x:c r="H92" s="18" t="n">
        <x:v>500000</x:v>
      </x:c>
    </x:row>
    <x:row r="93" ht="27" customHeight="1" hidden="1">
      <x:c r="A93" s="15" t="str">
        <x:v>KH092</x:v>
      </x:c>
      <x:c r="B93" s="15" t="str">
        <x:v>JavaScript 10</x:v>
      </x:c>
      <x:c r="C93" s="15" t="str">
        <x:v>CNTT</x:v>
      </x:c>
      <x:c r="D93" s="15" t="str">
        <x:v>Trung cấp</x:v>
      </x:c>
      <x:c r="E93" s="15" t="str">
        <x:v>Kết hợp</x:v>
      </x:c>
      <x:c r="F93" s="15" t="str">
        <x:v>Đang mở</x:v>
      </x:c>
      <x:c r="G93" s="19" t="n">
        <x:v>10</x:v>
      </x:c>
      <x:c r="H93" s="18" t="n">
        <x:v>750000</x:v>
      </x:c>
    </x:row>
    <x:row r="94" ht="27" customHeight="1" hidden="1">
      <x:c r="A94" s="15" t="str">
        <x:v>KH093</x:v>
      </x:c>
      <x:c r="B94" s="15" t="str">
        <x:v>Python 10</x:v>
      </x:c>
      <x:c r="C94" s="15" t="str">
        <x:v>CNTT</x:v>
      </x:c>
      <x:c r="D94" s="15" t="str">
        <x:v>Nâng cao</x:v>
      </x:c>
      <x:c r="E94" s="15" t="str">
        <x:v>Trực tuyến</x:v>
      </x:c>
      <x:c r="F94" s="15" t="str">
        <x:v>Đang mở</x:v>
      </x:c>
      <x:c r="G94" s="19" t="n">
        <x:v>12</x:v>
      </x:c>
      <x:c r="H94" s="18" t="n">
        <x:v>1000000</x:v>
      </x:c>
    </x:row>
    <x:row r="95" ht="27" customHeight="1" hidden="1">
      <x:c r="A95" s="15" t="str">
        <x:v>KH094</x:v>
      </x:c>
      <x:c r="B95" s="15" t="str">
        <x:v>Cơ sở dữ liệu 10</x:v>
      </x:c>
      <x:c r="C95" s="15" t="str">
        <x:v>QTKD</x:v>
      </x:c>
      <x:c r="D95" s="15" t="str">
        <x:v>Nâng cao</x:v>
      </x:c>
      <x:c r="E95" s="15" t="str">
        <x:v>Kết hợp</x:v>
      </x:c>
      <x:c r="F95" s="15" t="str">
        <x:v>Đang mở</x:v>
      </x:c>
      <x:c r="G95" s="19" t="n">
        <x:v>14</x:v>
      </x:c>
      <x:c r="H95" s="18" t="n">
        <x:v>1250000</x:v>
      </x:c>
    </x:row>
    <x:row r="96" ht="27" customHeight="1" hidden="1">
      <x:c r="A96" s="15" t="str">
        <x:v>KH095</x:v>
      </x:c>
      <x:c r="B96" s="15" t="str">
        <x:v>Cấu trúc dữ liệu 10</x:v>
      </x:c>
      <x:c r="C96" s="15" t="str">
        <x:v>DTVT</x:v>
      </x:c>
      <x:c r="D96" s="15" t="str">
        <x:v>Nâng cao</x:v>
      </x:c>
      <x:c r="E96" s="15" t="str">
        <x:v>Trực tuyến</x:v>
      </x:c>
      <x:c r="F96" s="15" t="str">
        <x:v>Đang mở</x:v>
      </x:c>
      <x:c r="G96" s="19" t="n">
        <x:v>16</x:v>
      </x:c>
      <x:c r="H96" s="18" t="n">
        <x:v>1500000</x:v>
      </x:c>
    </x:row>
    <x:row r="97" ht="27" customHeight="1" hidden="1">
      <x:c r="A97" s="15" t="str">
        <x:v>KH096</x:v>
      </x:c>
      <x:c r="B97" s="15" t="str">
        <x:v>Mạng máy tính 10</x:v>
      </x:c>
      <x:c r="C97" s="15" t="str">
        <x:v>CNTT</x:v>
      </x:c>
      <x:c r="D97" s="15" t="str">
        <x:v>Nâng cao</x:v>
      </x:c>
      <x:c r="E97" s="15" t="str">
        <x:v>Kết hợp</x:v>
      </x:c>
      <x:c r="F97" s="15" t="str">
        <x:v>Đã đóng</x:v>
      </x:c>
      <x:c r="G97" s="19" t="n">
        <x:v>18</x:v>
      </x:c>
      <x:c r="H97" s="18" t="n">
        <x:v>1750000</x:v>
      </x:c>
    </x:row>
    <x:row r="98" ht="27" customHeight="1">
      <x:c r="A98" s="15" t="str">
        <x:v>KH097</x:v>
      </x:c>
      <x:c r="B98" s="15" t="str">
        <x:v>Excel 10</x:v>
      </x:c>
      <x:c r="C98" s="15" t="str">
        <x:v>CNTT</x:v>
      </x:c>
      <x:c r="D98" s="15" t="str">
        <x:v>Cơ bản</x:v>
      </x:c>
      <x:c r="E98" s="15" t="str">
        <x:v>Trực tuyến</x:v>
      </x:c>
      <x:c r="F98" s="15" t="str">
        <x:v>Đang mở</x:v>
      </x:c>
      <x:c r="G98" s="19" t="n">
        <x:v>20</x:v>
      </x:c>
      <x:c r="H98" s="18" t="n">
        <x:v>500000</x:v>
      </x:c>
    </x:row>
    <x:row r="99" ht="27" customHeight="1" hidden="1">
      <x:c r="A99" s="15" t="str">
        <x:v>KH098</x:v>
      </x:c>
      <x:c r="B99" s="15" t="str">
        <x:v>Thiết kế UI UX 10</x:v>
      </x:c>
      <x:c r="C99" s="15" t="str">
        <x:v>QTKD</x:v>
      </x:c>
      <x:c r="D99" s="15" t="str">
        <x:v>Cơ bản</x:v>
      </x:c>
      <x:c r="E99" s="15" t="str">
        <x:v>Kết hợp</x:v>
      </x:c>
      <x:c r="F99" s="15" t="str">
        <x:v>Đang mở</x:v>
      </x:c>
      <x:c r="G99" s="19" t="n">
        <x:v>22</x:v>
      </x:c>
      <x:c r="H99" s="18" t="n">
        <x:v>750000</x:v>
      </x:c>
    </x:row>
    <x:row r="100" ht="27" customHeight="1" hidden="1">
      <x:c r="A100" s="15" t="str">
        <x:v>KH099</x:v>
      </x:c>
      <x:c r="B100" s="15" t="str">
        <x:v>Marketing số 10</x:v>
      </x:c>
      <x:c r="C100" s="15" t="str">
        <x:v>DTVT</x:v>
      </x:c>
      <x:c r="D100" s="15" t="str">
        <x:v>Cơ bản</x:v>
      </x:c>
      <x:c r="E100" s="15" t="str">
        <x:v>Trực tuyến</x:v>
      </x:c>
      <x:c r="F100" s="15" t="str">
        <x:v>Đang mở</x:v>
      </x:c>
      <x:c r="G100" s="19" t="n">
        <x:v>24</x:v>
      </x:c>
      <x:c r="H100" s="18" t="n">
        <x:v>1000000</x:v>
      </x:c>
    </x:row>
    <x:row r="101" ht="27" customHeight="1">
      <x:c r="A101" s="15" t="str">
        <x:v>KH100</x:v>
      </x:c>
      <x:c r="B101" s="15" t="str">
        <x:v>Tiếng Anh 10</x:v>
      </x:c>
      <x:c r="C101" s="15" t="str">
        <x:v>CNTT</x:v>
      </x:c>
      <x:c r="D101" s="15" t="str">
        <x:v>Cơ bản</x:v>
      </x:c>
      <x:c r="E101" s="15" t="str">
        <x:v>Kết hợp</x:v>
      </x:c>
      <x:c r="F101" s="15" t="str">
        <x:v>Đang mở</x:v>
      </x:c>
      <x:c r="G101" s="19" t="n">
        <x:v>8</x:v>
      </x:c>
      <x:c r="H101" s="18" t="n">
        <x:v>1250000</x:v>
      </x:c>
    </x:row>
    <x:row r="102" ht="27" customHeight="1" hidden="1">
      <x:c r="A102" s="15" t="str">
        <x:v>KH101</x:v>
      </x:c>
      <x:c r="B102" s="15" t="str">
        <x:v>HTML và CSS 11</x:v>
      </x:c>
      <x:c r="C102" s="15" t="str">
        <x:v>CNTT</x:v>
      </x:c>
      <x:c r="D102" s="15" t="str">
        <x:v>Trung cấp</x:v>
      </x:c>
      <x:c r="E102" s="15" t="str">
        <x:v>Trực tuyến</x:v>
      </x:c>
      <x:c r="F102" s="15" t="str">
        <x:v>Đã đóng</x:v>
      </x:c>
      <x:c r="G102" s="19" t="n">
        <x:v>10</x:v>
      </x:c>
      <x:c r="H102" s="18" t="n">
        <x:v>1500000</x:v>
      </x:c>
    </x:row>
    <x:row r="103" ht="27" customHeight="1" hidden="1">
      <x:c r="A103" s="15" t="str">
        <x:v>KH102</x:v>
      </x:c>
      <x:c r="B103" s="15" t="str">
        <x:v>JavaScript 11</x:v>
      </x:c>
      <x:c r="C103" s="15" t="str">
        <x:v>QTKD</x:v>
      </x:c>
      <x:c r="D103" s="15" t="str">
        <x:v>Trung cấp</x:v>
      </x:c>
      <x:c r="E103" s="15" t="str">
        <x:v>Kết hợp</x:v>
      </x:c>
      <x:c r="F103" s="15" t="str">
        <x:v>Đang mở</x:v>
      </x:c>
      <x:c r="G103" s="19" t="n">
        <x:v>12</x:v>
      </x:c>
      <x:c r="H103" s="18" t="n">
        <x:v>1750000</x:v>
      </x:c>
    </x:row>
    <x:row r="104" ht="27" customHeight="1" hidden="1">
      <x:c r="A104" s="15" t="str">
        <x:v>KH103</x:v>
      </x:c>
      <x:c r="B104" s="15" t="str">
        <x:v>Python 11</x:v>
      </x:c>
      <x:c r="C104" s="15" t="str">
        <x:v>DTVT</x:v>
      </x:c>
      <x:c r="D104" s="15" t="str">
        <x:v>Trung cấp</x:v>
      </x:c>
      <x:c r="E104" s="15" t="str">
        <x:v>Trực tuyến</x:v>
      </x:c>
      <x:c r="F104" s="15" t="str">
        <x:v>Đang mở</x:v>
      </x:c>
      <x:c r="G104" s="19" t="n">
        <x:v>14</x:v>
      </x:c>
      <x:c r="H104" s="18" t="n">
        <x:v>500000</x:v>
      </x:c>
    </x:row>
    <x:row r="105" ht="27" customHeight="1" hidden="1">
      <x:c r="A105" s="15" t="str">
        <x:v>KH104</x:v>
      </x:c>
      <x:c r="B105" s="15" t="str">
        <x:v>Cơ sở dữ liệu 11</x:v>
      </x:c>
      <x:c r="C105" s="15" t="str">
        <x:v>CNTT</x:v>
      </x:c>
      <x:c r="D105" s="15" t="str">
        <x:v>Trung cấp</x:v>
      </x:c>
      <x:c r="E105" s="15" t="str">
        <x:v>Kết hợp</x:v>
      </x:c>
      <x:c r="F105" s="15" t="str">
        <x:v>Đang mở</x:v>
      </x:c>
      <x:c r="G105" s="19" t="n">
        <x:v>16</x:v>
      </x:c>
      <x:c r="H105" s="18" t="n">
        <x:v>750000</x:v>
      </x:c>
    </x:row>
    <x:row r="106" ht="27" customHeight="1" hidden="1">
      <x:c r="A106" s="15" t="str">
        <x:v>KH105</x:v>
      </x:c>
      <x:c r="B106" s="15" t="str">
        <x:v>Cấu trúc dữ liệu 11</x:v>
      </x:c>
      <x:c r="C106" s="15" t="str">
        <x:v>CNTT</x:v>
      </x:c>
      <x:c r="D106" s="15" t="str">
        <x:v>Nâng cao</x:v>
      </x:c>
      <x:c r="E106" s="15" t="str">
        <x:v>Trực tuyến</x:v>
      </x:c>
      <x:c r="F106" s="15" t="str">
        <x:v>Đang mở</x:v>
      </x:c>
      <x:c r="G106" s="19" t="n">
        <x:v>18</x:v>
      </x:c>
      <x:c r="H106" s="18" t="n">
        <x:v>1000000</x:v>
      </x:c>
    </x:row>
    <x:row r="107" ht="27" customHeight="1" hidden="1">
      <x:c r="A107" s="15" t="str">
        <x:v>KH106</x:v>
      </x:c>
      <x:c r="B107" s="15" t="str">
        <x:v>Mạng máy tính 11</x:v>
      </x:c>
      <x:c r="C107" s="15" t="str">
        <x:v>QTKD</x:v>
      </x:c>
      <x:c r="D107" s="15" t="str">
        <x:v>Nâng cao</x:v>
      </x:c>
      <x:c r="E107" s="15" t="str">
        <x:v>Kết hợp</x:v>
      </x:c>
      <x:c r="F107" s="15" t="str">
        <x:v>Đã đóng</x:v>
      </x:c>
      <x:c r="G107" s="19" t="n">
        <x:v>20</x:v>
      </x:c>
      <x:c r="H107" s="18" t="n">
        <x:v>1250000</x:v>
      </x:c>
    </x:row>
    <x:row r="108" ht="27" customHeight="1" hidden="1">
      <x:c r="A108" s="15" t="str">
        <x:v>KH107</x:v>
      </x:c>
      <x:c r="B108" s="15" t="str">
        <x:v>Excel 11</x:v>
      </x:c>
      <x:c r="C108" s="15" t="str">
        <x:v>DTVT</x:v>
      </x:c>
      <x:c r="D108" s="15" t="str">
        <x:v>Nâng cao</x:v>
      </x:c>
      <x:c r="E108" s="15" t="str">
        <x:v>Trực tuyến</x:v>
      </x:c>
      <x:c r="F108" s="15" t="str">
        <x:v>Đang mở</x:v>
      </x:c>
      <x:c r="G108" s="19" t="n">
        <x:v>22</x:v>
      </x:c>
      <x:c r="H108" s="18" t="n">
        <x:v>1500000</x:v>
      </x:c>
    </x:row>
    <x:row r="109" ht="27" customHeight="1" hidden="1">
      <x:c r="A109" s="15" t="str">
        <x:v>KH108</x:v>
      </x:c>
      <x:c r="B109" s="15" t="str">
        <x:v>Thiết kế UI UX 11</x:v>
      </x:c>
      <x:c r="C109" s="15" t="str">
        <x:v>CNTT</x:v>
      </x:c>
      <x:c r="D109" s="15" t="str">
        <x:v>Nâng cao</x:v>
      </x:c>
      <x:c r="E109" s="15" t="str">
        <x:v>Kết hợp</x:v>
      </x:c>
      <x:c r="F109" s="15" t="str">
        <x:v>Đang mở</x:v>
      </x:c>
      <x:c r="G109" s="19" t="n">
        <x:v>24</x:v>
      </x:c>
      <x:c r="H109" s="18" t="n">
        <x:v>1750000</x:v>
      </x:c>
    </x:row>
    <x:row r="110" ht="27" customHeight="1">
      <x:c r="A110" s="15" t="str">
        <x:v>KH109</x:v>
      </x:c>
      <x:c r="B110" s="15" t="str">
        <x:v>Marketing số 11</x:v>
      </x:c>
      <x:c r="C110" s="15" t="str">
        <x:v>CNTT</x:v>
      </x:c>
      <x:c r="D110" s="15" t="str">
        <x:v>Cơ bản</x:v>
      </x:c>
      <x:c r="E110" s="15" t="str">
        <x:v>Trực tuyến</x:v>
      </x:c>
      <x:c r="F110" s="15" t="str">
        <x:v>Đang mở</x:v>
      </x:c>
      <x:c r="G110" s="19" t="n">
        <x:v>8</x:v>
      </x:c>
      <x:c r="H110" s="18" t="n">
        <x:v>500000</x:v>
      </x:c>
    </x:row>
    <x:row r="111" ht="27" customHeight="1" hidden="1">
      <x:c r="A111" s="15" t="str">
        <x:v>KH110</x:v>
      </x:c>
      <x:c r="B111" s="15" t="str">
        <x:v>Tiếng Anh 11</x:v>
      </x:c>
      <x:c r="C111" s="15" t="str">
        <x:v>QTKD</x:v>
      </x:c>
      <x:c r="D111" s="15" t="str">
        <x:v>Cơ bản</x:v>
      </x:c>
      <x:c r="E111" s="15" t="str">
        <x:v>Kết hợp</x:v>
      </x:c>
      <x:c r="F111" s="15" t="str">
        <x:v>Đang mở</x:v>
      </x:c>
      <x:c r="G111" s="19" t="n">
        <x:v>10</x:v>
      </x:c>
      <x:c r="H111" s="18" t="n">
        <x:v>750000</x:v>
      </x:c>
    </x:row>
    <x:row r="112" ht="27" customHeight="1" hidden="1">
      <x:c r="A112" s="15" t="str">
        <x:v>KH111</x:v>
      </x:c>
      <x:c r="B112" s="15" t="str">
        <x:v>HTML và CSS 12</x:v>
      </x:c>
      <x:c r="C112" s="15" t="str">
        <x:v>DTVT</x:v>
      </x:c>
      <x:c r="D112" s="15" t="str">
        <x:v>Cơ bản</x:v>
      </x:c>
      <x:c r="E112" s="15" t="str">
        <x:v>Trực tuyến</x:v>
      </x:c>
      <x:c r="F112" s="15" t="str">
        <x:v>Đã đóng</x:v>
      </x:c>
      <x:c r="G112" s="19" t="n">
        <x:v>12</x:v>
      </x:c>
      <x:c r="H112" s="18" t="n">
        <x:v>1000000</x:v>
      </x:c>
    </x:row>
    <x:row r="113" ht="27" customHeight="1">
      <x:c r="A113" s="15" t="str">
        <x:v>KH112</x:v>
      </x:c>
      <x:c r="B113" s="15" t="str">
        <x:v>JavaScript 12</x:v>
      </x:c>
      <x:c r="C113" s="15" t="str">
        <x:v>CNTT</x:v>
      </x:c>
      <x:c r="D113" s="15" t="str">
        <x:v>Cơ bản</x:v>
      </x:c>
      <x:c r="E113" s="15" t="str">
        <x:v>Kết hợp</x:v>
      </x:c>
      <x:c r="F113" s="15" t="str">
        <x:v>Đang mở</x:v>
      </x:c>
      <x:c r="G113" s="19" t="n">
        <x:v>14</x:v>
      </x:c>
      <x:c r="H113" s="18" t="n">
        <x:v>1250000</x:v>
      </x:c>
    </x:row>
    <x:row r="114" ht="27" customHeight="1" hidden="1">
      <x:c r="A114" s="15" t="str">
        <x:v>KH113</x:v>
      </x:c>
      <x:c r="B114" s="15" t="str">
        <x:v>Python 12</x:v>
      </x:c>
      <x:c r="C114" s="15" t="str">
        <x:v>CNTT</x:v>
      </x:c>
      <x:c r="D114" s="15" t="str">
        <x:v>Trung cấp</x:v>
      </x:c>
      <x:c r="E114" s="15" t="str">
        <x:v>Trực tuyến</x:v>
      </x:c>
      <x:c r="F114" s="15" t="str">
        <x:v>Đang mở</x:v>
      </x:c>
      <x:c r="G114" s="19" t="n">
        <x:v>16</x:v>
      </x:c>
      <x:c r="H114" s="18" t="n">
        <x:v>1500000</x:v>
      </x:c>
    </x:row>
    <x:row r="115" ht="27" customHeight="1" hidden="1">
      <x:c r="A115" s="15" t="str">
        <x:v>KH114</x:v>
      </x:c>
      <x:c r="B115" s="15" t="str">
        <x:v>Cơ sở dữ liệu 12</x:v>
      </x:c>
      <x:c r="C115" s="15" t="str">
        <x:v>QTKD</x:v>
      </x:c>
      <x:c r="D115" s="15" t="str">
        <x:v>Trung cấp</x:v>
      </x:c>
      <x:c r="E115" s="15" t="str">
        <x:v>Kết hợp</x:v>
      </x:c>
      <x:c r="F115" s="15" t="str">
        <x:v>Đang mở</x:v>
      </x:c>
      <x:c r="G115" s="19" t="n">
        <x:v>18</x:v>
      </x:c>
      <x:c r="H115" s="18" t="n">
        <x:v>1750000</x:v>
      </x:c>
    </x:row>
    <x:row r="116" ht="27" customHeight="1" hidden="1">
      <x:c r="A116" s="15" t="str">
        <x:v>KH115</x:v>
      </x:c>
      <x:c r="B116" s="15" t="str">
        <x:v>Cấu trúc dữ liệu 12</x:v>
      </x:c>
      <x:c r="C116" s="15" t="str">
        <x:v>DTVT</x:v>
      </x:c>
      <x:c r="D116" s="15" t="str">
        <x:v>Trung cấp</x:v>
      </x:c>
      <x:c r="E116" s="15" t="str">
        <x:v>Trực tuyến</x:v>
      </x:c>
      <x:c r="F116" s="15" t="str">
        <x:v>Đang mở</x:v>
      </x:c>
      <x:c r="G116" s="19" t="n">
        <x:v>20</x:v>
      </x:c>
      <x:c r="H116" s="18" t="n">
        <x:v>500000</x:v>
      </x:c>
    </x:row>
    <x:row r="117" ht="27" customHeight="1" hidden="1">
      <x:c r="A117" s="15" t="str">
        <x:v>KH116</x:v>
      </x:c>
      <x:c r="B117" s="15" t="str">
        <x:v>Mạng máy tính 12</x:v>
      </x:c>
      <x:c r="C117" s="15" t="str">
        <x:v>CNTT</x:v>
      </x:c>
      <x:c r="D117" s="15" t="str">
        <x:v>Trung cấp</x:v>
      </x:c>
      <x:c r="E117" s="15" t="str">
        <x:v>Kết hợp</x:v>
      </x:c>
      <x:c r="F117" s="15" t="str">
        <x:v>Đã đóng</x:v>
      </x:c>
      <x:c r="G117" s="19" t="n">
        <x:v>22</x:v>
      </x:c>
      <x:c r="H117" s="18" t="n">
        <x:v>750000</x:v>
      </x:c>
    </x:row>
    <x:row r="118" ht="27" customHeight="1" hidden="1">
      <x:c r="A118" s="15" t="str">
        <x:v>KH117</x:v>
      </x:c>
      <x:c r="B118" s="15" t="str">
        <x:v>Excel 12</x:v>
      </x:c>
      <x:c r="C118" s="15" t="str">
        <x:v>CNTT</x:v>
      </x:c>
      <x:c r="D118" s="15" t="str">
        <x:v>Nâng cao</x:v>
      </x:c>
      <x:c r="E118" s="15" t="str">
        <x:v>Trực tuyến</x:v>
      </x:c>
      <x:c r="F118" s="15" t="str">
        <x:v>Đang mở</x:v>
      </x:c>
      <x:c r="G118" s="19" t="n">
        <x:v>24</x:v>
      </x:c>
      <x:c r="H118" s="18" t="n">
        <x:v>1000000</x:v>
      </x:c>
    </x:row>
    <x:row r="119" ht="27" customHeight="1" hidden="1">
      <x:c r="A119" s="15" t="str">
        <x:v>KH118</x:v>
      </x:c>
      <x:c r="B119" s="15" t="str">
        <x:v>Thiết kế UI UX 12</x:v>
      </x:c>
      <x:c r="C119" s="15" t="str">
        <x:v>QTKD</x:v>
      </x:c>
      <x:c r="D119" s="15" t="str">
        <x:v>Nâng cao</x:v>
      </x:c>
      <x:c r="E119" s="15" t="str">
        <x:v>Kết hợp</x:v>
      </x:c>
      <x:c r="F119" s="15" t="str">
        <x:v>Đang mở</x:v>
      </x:c>
      <x:c r="G119" s="19" t="n">
        <x:v>8</x:v>
      </x:c>
      <x:c r="H119" s="18" t="n">
        <x:v>1250000</x:v>
      </x:c>
    </x:row>
    <x:row r="120" ht="27" customHeight="1" hidden="1">
      <x:c r="A120" s="15" t="str">
        <x:v>KH119</x:v>
      </x:c>
      <x:c r="B120" s="15" t="str">
        <x:v>Marketing số 12</x:v>
      </x:c>
      <x:c r="C120" s="15" t="str">
        <x:v>DTVT</x:v>
      </x:c>
      <x:c r="D120" s="15" t="str">
        <x:v>Nâng cao</x:v>
      </x:c>
      <x:c r="E120" s="15" t="str">
        <x:v>Trực tuyến</x:v>
      </x:c>
      <x:c r="F120" s="15" t="str">
        <x:v>Đang mở</x:v>
      </x:c>
      <x:c r="G120" s="19" t="n">
        <x:v>10</x:v>
      </x:c>
      <x:c r="H120" s="18" t="n">
        <x:v>1500000</x:v>
      </x:c>
    </x:row>
    <x:row r="121" ht="27" customHeight="1" hidden="1">
      <x:c r="A121" s="15" t="str">
        <x:v>KH120</x:v>
      </x:c>
      <x:c r="B121" s="15" t="str">
        <x:v>Tiếng Anh 12</x:v>
      </x:c>
      <x:c r="C121" s="15" t="str">
        <x:v>CNTT</x:v>
      </x:c>
      <x:c r="D121" s="15" t="str">
        <x:v>Nâng cao</x:v>
      </x:c>
      <x:c r="E121" s="15" t="str">
        <x:v>Kết hợp</x:v>
      </x:c>
      <x:c r="F121" s="15" t="str">
        <x:v>Đang mở</x:v>
      </x:c>
      <x:c r="G121" s="19" t="n">
        <x:v>12</x:v>
      </x:c>
      <x:c r="H121" s="18" t="n">
        <x:v>1750000</x:v>
      </x:c>
    </x:row>
    <x:row r="122" ht="27" customHeight="1" hidden="1">
      <x:c r="A122" s="15" t="str">
        <x:v>KH121</x:v>
      </x:c>
      <x:c r="B122" s="15" t="str">
        <x:v>HTML và CSS 13</x:v>
      </x:c>
      <x:c r="C122" s="15" t="str">
        <x:v>CNTT</x:v>
      </x:c>
      <x:c r="D122" s="15" t="str">
        <x:v>Cơ bản</x:v>
      </x:c>
      <x:c r="E122" s="15" t="str">
        <x:v>Trực tuyến</x:v>
      </x:c>
      <x:c r="F122" s="15" t="str">
        <x:v>Đã đóng</x:v>
      </x:c>
      <x:c r="G122" s="19" t="n">
        <x:v>14</x:v>
      </x:c>
      <x:c r="H122" s="18" t="n">
        <x:v>500000</x:v>
      </x:c>
    </x:row>
    <x:row r="123" ht="27" customHeight="1" hidden="1">
      <x:c r="A123" s="15" t="str">
        <x:v>KH122</x:v>
      </x:c>
      <x:c r="B123" s="15" t="str">
        <x:v>JavaScript 13</x:v>
      </x:c>
      <x:c r="C123" s="15" t="str">
        <x:v>QTKD</x:v>
      </x:c>
      <x:c r="D123" s="15" t="str">
        <x:v>Cơ bản</x:v>
      </x:c>
      <x:c r="E123" s="15" t="str">
        <x:v>Kết hợp</x:v>
      </x:c>
      <x:c r="F123" s="15" t="str">
        <x:v>Đang mở</x:v>
      </x:c>
      <x:c r="G123" s="19" t="n">
        <x:v>16</x:v>
      </x:c>
      <x:c r="H123" s="18" t="n">
        <x:v>750000</x:v>
      </x:c>
    </x:row>
    <x:row r="124" ht="27" customHeight="1" hidden="1">
      <x:c r="A124" s="15" t="str">
        <x:v>KH123</x:v>
      </x:c>
      <x:c r="B124" s="15" t="str">
        <x:v>Python 13</x:v>
      </x:c>
      <x:c r="C124" s="15" t="str">
        <x:v>DTVT</x:v>
      </x:c>
      <x:c r="D124" s="15" t="str">
        <x:v>Cơ bản</x:v>
      </x:c>
      <x:c r="E124" s="15" t="str">
        <x:v>Trực tuyến</x:v>
      </x:c>
      <x:c r="F124" s="15" t="str">
        <x:v>Đang mở</x:v>
      </x:c>
      <x:c r="G124" s="19" t="n">
        <x:v>18</x:v>
      </x:c>
      <x:c r="H124" s="18" t="n">
        <x:v>1000000</x:v>
      </x:c>
    </x:row>
    <x:row r="125" ht="27" customHeight="1">
      <x:c r="A125" s="15" t="str">
        <x:v>KH124</x:v>
      </x:c>
      <x:c r="B125" s="15" t="str">
        <x:v>Cơ sở dữ liệu 13</x:v>
      </x:c>
      <x:c r="C125" s="15" t="str">
        <x:v>CNTT</x:v>
      </x:c>
      <x:c r="D125" s="15" t="str">
        <x:v>Cơ bản</x:v>
      </x:c>
      <x:c r="E125" s="15" t="str">
        <x:v>Kết hợp</x:v>
      </x:c>
      <x:c r="F125" s="15" t="str">
        <x:v>Đang mở</x:v>
      </x:c>
      <x:c r="G125" s="19" t="n">
        <x:v>20</x:v>
      </x:c>
      <x:c r="H125" s="18" t="n">
        <x:v>1250000</x:v>
      </x:c>
    </x:row>
    <x:row r="126" ht="27" customHeight="1" hidden="1">
      <x:c r="A126" s="15" t="str">
        <x:v>KH125</x:v>
      </x:c>
      <x:c r="B126" s="15" t="str">
        <x:v>Cấu trúc dữ liệu 13</x:v>
      </x:c>
      <x:c r="C126" s="15" t="str">
        <x:v>CNTT</x:v>
      </x:c>
      <x:c r="D126" s="15" t="str">
        <x:v>Trung cấp</x:v>
      </x:c>
      <x:c r="E126" s="15" t="str">
        <x:v>Trực tuyến</x:v>
      </x:c>
      <x:c r="F126" s="15" t="str">
        <x:v>Đang mở</x:v>
      </x:c>
      <x:c r="G126" s="19" t="n">
        <x:v>22</x:v>
      </x:c>
      <x:c r="H126" s="18" t="n">
        <x:v>1500000</x:v>
      </x:c>
    </x:row>
    <x:row r="127" ht="27" customHeight="1" hidden="1">
      <x:c r="A127" s="15" t="str">
        <x:v>KH126</x:v>
      </x:c>
      <x:c r="B127" s="15" t="str">
        <x:v>Mạng máy tính 13</x:v>
      </x:c>
      <x:c r="C127" s="15" t="str">
        <x:v>QTKD</x:v>
      </x:c>
      <x:c r="D127" s="15" t="str">
        <x:v>Trung cấp</x:v>
      </x:c>
      <x:c r="E127" s="15" t="str">
        <x:v>Kết hợp</x:v>
      </x:c>
      <x:c r="F127" s="15" t="str">
        <x:v>Đã đóng</x:v>
      </x:c>
      <x:c r="G127" s="19" t="n">
        <x:v>24</x:v>
      </x:c>
      <x:c r="H127" s="18" t="n">
        <x:v>1750000</x:v>
      </x:c>
    </x:row>
    <x:row r="128" ht="27" customHeight="1" hidden="1">
      <x:c r="A128" s="15" t="str">
        <x:v>KH127</x:v>
      </x:c>
      <x:c r="B128" s="15" t="str">
        <x:v>Excel 13</x:v>
      </x:c>
      <x:c r="C128" s="15" t="str">
        <x:v>DTVT</x:v>
      </x:c>
      <x:c r="D128" s="15" t="str">
        <x:v>Trung cấp</x:v>
      </x:c>
      <x:c r="E128" s="15" t="str">
        <x:v>Trực tuyến</x:v>
      </x:c>
      <x:c r="F128" s="15" t="str">
        <x:v>Đang mở</x:v>
      </x:c>
      <x:c r="G128" s="19" t="n">
        <x:v>8</x:v>
      </x:c>
      <x:c r="H128" s="18" t="n">
        <x:v>500000</x:v>
      </x:c>
    </x:row>
    <x:row r="129" ht="27" customHeight="1" hidden="1">
      <x:c r="A129" s="15" t="str">
        <x:v>KH128</x:v>
      </x:c>
      <x:c r="B129" s="15" t="str">
        <x:v>Thiết kế UI UX 13</x:v>
      </x:c>
      <x:c r="C129" s="15" t="str">
        <x:v>CNTT</x:v>
      </x:c>
      <x:c r="D129" s="15" t="str">
        <x:v>Trung cấp</x:v>
      </x:c>
      <x:c r="E129" s="15" t="str">
        <x:v>Kết hợp</x:v>
      </x:c>
      <x:c r="F129" s="15" t="str">
        <x:v>Đang mở</x:v>
      </x:c>
      <x:c r="G129" s="19" t="n">
        <x:v>10</x:v>
      </x:c>
      <x:c r="H129" s="18" t="n">
        <x:v>750000</x:v>
      </x:c>
    </x:row>
    <x:row r="130" ht="27" customHeight="1" hidden="1">
      <x:c r="A130" s="15" t="str">
        <x:v>KH129</x:v>
      </x:c>
      <x:c r="B130" s="15" t="str">
        <x:v>Marketing số 13</x:v>
      </x:c>
      <x:c r="C130" s="15" t="str">
        <x:v>CNTT</x:v>
      </x:c>
      <x:c r="D130" s="15" t="str">
        <x:v>Nâng cao</x:v>
      </x:c>
      <x:c r="E130" s="15" t="str">
        <x:v>Trực tuyến</x:v>
      </x:c>
      <x:c r="F130" s="15" t="str">
        <x:v>Đang mở</x:v>
      </x:c>
      <x:c r="G130" s="19" t="n">
        <x:v>12</x:v>
      </x:c>
      <x:c r="H130" s="18" t="n">
        <x:v>1000000</x:v>
      </x:c>
    </x:row>
    <x:row r="131" ht="27" customHeight="1" hidden="1">
      <x:c r="A131" s="15" t="str">
        <x:v>KH130</x:v>
      </x:c>
      <x:c r="B131" s="15" t="str">
        <x:v>Tiếng Anh 13</x:v>
      </x:c>
      <x:c r="C131" s="15" t="str">
        <x:v>QTKD</x:v>
      </x:c>
      <x:c r="D131" s="15" t="str">
        <x:v>Nâng cao</x:v>
      </x:c>
      <x:c r="E131" s="15" t="str">
        <x:v>Kết hợp</x:v>
      </x:c>
      <x:c r="F131" s="15" t="str">
        <x:v>Đang mở</x:v>
      </x:c>
      <x:c r="G131" s="19" t="n">
        <x:v>14</x:v>
      </x:c>
      <x:c r="H131" s="18" t="n">
        <x:v>1250000</x:v>
      </x:c>
    </x:row>
    <x:row r="132" ht="27" customHeight="1" hidden="1">
      <x:c r="A132" s="15" t="str">
        <x:v>KH131</x:v>
      </x:c>
      <x:c r="B132" s="15" t="str">
        <x:v>HTML và CSS 14</x:v>
      </x:c>
      <x:c r="C132" s="15" t="str">
        <x:v>DTVT</x:v>
      </x:c>
      <x:c r="D132" s="15" t="str">
        <x:v>Nâng cao</x:v>
      </x:c>
      <x:c r="E132" s="15" t="str">
        <x:v>Trực tuyến</x:v>
      </x:c>
      <x:c r="F132" s="15" t="str">
        <x:v>Đã đóng</x:v>
      </x:c>
      <x:c r="G132" s="19" t="n">
        <x:v>16</x:v>
      </x:c>
      <x:c r="H132" s="18" t="n">
        <x:v>1500000</x:v>
      </x:c>
    </x:row>
    <x:row r="133" ht="27" customHeight="1" hidden="1">
      <x:c r="A133" s="15" t="str">
        <x:v>KH132</x:v>
      </x:c>
      <x:c r="B133" s="15" t="str">
        <x:v>JavaScript 14</x:v>
      </x:c>
      <x:c r="C133" s="15" t="str">
        <x:v>CNTT</x:v>
      </x:c>
      <x:c r="D133" s="15" t="str">
        <x:v>Nâng cao</x:v>
      </x:c>
      <x:c r="E133" s="15" t="str">
        <x:v>Kết hợp</x:v>
      </x:c>
      <x:c r="F133" s="15" t="str">
        <x:v>Đang mở</x:v>
      </x:c>
      <x:c r="G133" s="19" t="n">
        <x:v>18</x:v>
      </x:c>
      <x:c r="H133" s="18" t="n">
        <x:v>1750000</x:v>
      </x:c>
    </x:row>
    <x:row r="134" ht="27" customHeight="1">
      <x:c r="A134" s="15" t="str">
        <x:v>KH133</x:v>
      </x:c>
      <x:c r="B134" s="15" t="str">
        <x:v>Python 14</x:v>
      </x:c>
      <x:c r="C134" s="15" t="str">
        <x:v>CNTT</x:v>
      </x:c>
      <x:c r="D134" s="15" t="str">
        <x:v>Cơ bản</x:v>
      </x:c>
      <x:c r="E134" s="15" t="str">
        <x:v>Trực tuyến</x:v>
      </x:c>
      <x:c r="F134" s="15" t="str">
        <x:v>Đang mở</x:v>
      </x:c>
      <x:c r="G134" s="19" t="n">
        <x:v>20</x:v>
      </x:c>
      <x:c r="H134" s="18" t="n">
        <x:v>500000</x:v>
      </x:c>
    </x:row>
    <x:row r="135" ht="27" customHeight="1" hidden="1">
      <x:c r="A135" s="15" t="str">
        <x:v>KH134</x:v>
      </x:c>
      <x:c r="B135" s="15" t="str">
        <x:v>Cơ sở dữ liệu 14</x:v>
      </x:c>
      <x:c r="C135" s="15" t="str">
        <x:v>QTKD</x:v>
      </x:c>
      <x:c r="D135" s="15" t="str">
        <x:v>Cơ bản</x:v>
      </x:c>
      <x:c r="E135" s="15" t="str">
        <x:v>Kết hợp</x:v>
      </x:c>
      <x:c r="F135" s="15" t="str">
        <x:v>Đang mở</x:v>
      </x:c>
      <x:c r="G135" s="19" t="n">
        <x:v>22</x:v>
      </x:c>
      <x:c r="H135" s="18" t="n">
        <x:v>750000</x:v>
      </x:c>
    </x:row>
    <x:row r="136" ht="27" customHeight="1" hidden="1">
      <x:c r="A136" s="15" t="str">
        <x:v>KH135</x:v>
      </x:c>
      <x:c r="B136" s="15" t="str">
        <x:v>Cấu trúc dữ liệu 14</x:v>
      </x:c>
      <x:c r="C136" s="15" t="str">
        <x:v>DTVT</x:v>
      </x:c>
      <x:c r="D136" s="15" t="str">
        <x:v>Cơ bản</x:v>
      </x:c>
      <x:c r="E136" s="15" t="str">
        <x:v>Trực tuyến</x:v>
      </x:c>
      <x:c r="F136" s="15" t="str">
        <x:v>Đang mở</x:v>
      </x:c>
      <x:c r="G136" s="19" t="n">
        <x:v>24</x:v>
      </x:c>
      <x:c r="H136" s="18" t="n">
        <x:v>1000000</x:v>
      </x:c>
    </x:row>
    <x:row r="137" ht="27" customHeight="1" hidden="1">
      <x:c r="A137" s="15" t="str">
        <x:v>KH136</x:v>
      </x:c>
      <x:c r="B137" s="15" t="str">
        <x:v>Mạng máy tính 14</x:v>
      </x:c>
      <x:c r="C137" s="15" t="str">
        <x:v>CNTT</x:v>
      </x:c>
      <x:c r="D137" s="15" t="str">
        <x:v>Cơ bản</x:v>
      </x:c>
      <x:c r="E137" s="15" t="str">
        <x:v>Kết hợp</x:v>
      </x:c>
      <x:c r="F137" s="15" t="str">
        <x:v>Đã đóng</x:v>
      </x:c>
      <x:c r="G137" s="19" t="n">
        <x:v>8</x:v>
      </x:c>
      <x:c r="H137" s="18" t="n">
        <x:v>1250000</x:v>
      </x:c>
    </x:row>
    <x:row r="138" ht="27" customHeight="1" hidden="1">
      <x:c r="A138" s="15" t="str">
        <x:v>KH137</x:v>
      </x:c>
      <x:c r="B138" s="15" t="str">
        <x:v>Excel 14</x:v>
      </x:c>
      <x:c r="C138" s="15" t="str">
        <x:v>CNTT</x:v>
      </x:c>
      <x:c r="D138" s="15" t="str">
        <x:v>Trung cấp</x:v>
      </x:c>
      <x:c r="E138" s="15" t="str">
        <x:v>Trực tuyến</x:v>
      </x:c>
      <x:c r="F138" s="15" t="str">
        <x:v>Đang mở</x:v>
      </x:c>
      <x:c r="G138" s="19" t="n">
        <x:v>10</x:v>
      </x:c>
      <x:c r="H138" s="18" t="n">
        <x:v>1500000</x:v>
      </x:c>
    </x:row>
    <x:row r="139" ht="27" customHeight="1" hidden="1">
      <x:c r="A139" s="15" t="str">
        <x:v>KH138</x:v>
      </x:c>
      <x:c r="B139" s="15" t="str">
        <x:v>Thiết kế UI UX 14</x:v>
      </x:c>
      <x:c r="C139" s="15" t="str">
        <x:v>QTKD</x:v>
      </x:c>
      <x:c r="D139" s="15" t="str">
        <x:v>Trung cấp</x:v>
      </x:c>
      <x:c r="E139" s="15" t="str">
        <x:v>Kết hợp</x:v>
      </x:c>
      <x:c r="F139" s="15" t="str">
        <x:v>Đang mở</x:v>
      </x:c>
      <x:c r="G139" s="19" t="n">
        <x:v>12</x:v>
      </x:c>
      <x:c r="H139" s="18" t="n">
        <x:v>1750000</x:v>
      </x:c>
    </x:row>
    <x:row r="140" ht="27" customHeight="1" hidden="1">
      <x:c r="A140" s="15" t="str">
        <x:v>KH139</x:v>
      </x:c>
      <x:c r="B140" s="15" t="str">
        <x:v>Marketing số 14</x:v>
      </x:c>
      <x:c r="C140" s="15" t="str">
        <x:v>DTVT</x:v>
      </x:c>
      <x:c r="D140" s="15" t="str">
        <x:v>Trung cấp</x:v>
      </x:c>
      <x:c r="E140" s="15" t="str">
        <x:v>Trực tuyến</x:v>
      </x:c>
      <x:c r="F140" s="15" t="str">
        <x:v>Đang mở</x:v>
      </x:c>
      <x:c r="G140" s="19" t="n">
        <x:v>14</x:v>
      </x:c>
      <x:c r="H140" s="18" t="n">
        <x:v>500000</x:v>
      </x:c>
    </x:row>
    <x:row r="141" ht="27" customHeight="1" hidden="1">
      <x:c r="A141" s="15" t="str">
        <x:v>KH140</x:v>
      </x:c>
      <x:c r="B141" s="15" t="str">
        <x:v>Tiếng Anh 14</x:v>
      </x:c>
      <x:c r="C141" s="15" t="str">
        <x:v>CNTT</x:v>
      </x:c>
      <x:c r="D141" s="15" t="str">
        <x:v>Trung cấp</x:v>
      </x:c>
      <x:c r="E141" s="15" t="str">
        <x:v>Kết hợp</x:v>
      </x:c>
      <x:c r="F141" s="15" t="str">
        <x:v>Đang mở</x:v>
      </x:c>
      <x:c r="G141" s="19" t="n">
        <x:v>16</x:v>
      </x:c>
      <x:c r="H141" s="18" t="n">
        <x:v>750000</x:v>
      </x:c>
    </x:row>
    <x:row r="142" ht="27" customHeight="1" hidden="1">
      <x:c r="A142" s="15" t="str">
        <x:v>KH141</x:v>
      </x:c>
      <x:c r="B142" s="15" t="str">
        <x:v>HTML và CSS 15</x:v>
      </x:c>
      <x:c r="C142" s="15" t="str">
        <x:v>CNTT</x:v>
      </x:c>
      <x:c r="D142" s="15" t="str">
        <x:v>Nâng cao</x:v>
      </x:c>
      <x:c r="E142" s="15" t="str">
        <x:v>Trực tuyến</x:v>
      </x:c>
      <x:c r="F142" s="15" t="str">
        <x:v>Đã đóng</x:v>
      </x:c>
      <x:c r="G142" s="19" t="n">
        <x:v>18</x:v>
      </x:c>
      <x:c r="H142" s="18" t="n">
        <x:v>1000000</x:v>
      </x:c>
    </x:row>
    <x:row r="143" ht="27" customHeight="1" hidden="1">
      <x:c r="A143" s="15" t="str">
        <x:v>KH142</x:v>
      </x:c>
      <x:c r="B143" s="15" t="str">
        <x:v>JavaScript 15</x:v>
      </x:c>
      <x:c r="C143" s="15" t="str">
        <x:v>QTKD</x:v>
      </x:c>
      <x:c r="D143" s="15" t="str">
        <x:v>Nâng cao</x:v>
      </x:c>
      <x:c r="E143" s="15" t="str">
        <x:v>Kết hợp</x:v>
      </x:c>
      <x:c r="F143" s="15" t="str">
        <x:v>Đang mở</x:v>
      </x:c>
      <x:c r="G143" s="19" t="n">
        <x:v>20</x:v>
      </x:c>
      <x:c r="H143" s="18" t="n">
        <x:v>1250000</x:v>
      </x:c>
    </x:row>
    <x:row r="144" ht="27" customHeight="1" hidden="1">
      <x:c r="A144" s="15" t="str">
        <x:v>KH143</x:v>
      </x:c>
      <x:c r="B144" s="15" t="str">
        <x:v>Python 15</x:v>
      </x:c>
      <x:c r="C144" s="15" t="str">
        <x:v>DTVT</x:v>
      </x:c>
      <x:c r="D144" s="15" t="str">
        <x:v>Nâng cao</x:v>
      </x:c>
      <x:c r="E144" s="15" t="str">
        <x:v>Trực tuyến</x:v>
      </x:c>
      <x:c r="F144" s="15" t="str">
        <x:v>Đang mở</x:v>
      </x:c>
      <x:c r="G144" s="19" t="n">
        <x:v>22</x:v>
      </x:c>
      <x:c r="H144" s="18" t="n">
        <x:v>1500000</x:v>
      </x:c>
    </x:row>
    <x:row r="145" ht="27" customHeight="1" hidden="1">
      <x:c r="A145" s="15" t="str">
        <x:v>KH144</x:v>
      </x:c>
      <x:c r="B145" s="15" t="str">
        <x:v>Cơ sở dữ liệu 15</x:v>
      </x:c>
      <x:c r="C145" s="15" t="str">
        <x:v>CNTT</x:v>
      </x:c>
      <x:c r="D145" s="15" t="str">
        <x:v>Nâng cao</x:v>
      </x:c>
      <x:c r="E145" s="15" t="str">
        <x:v>Kết hợp</x:v>
      </x:c>
      <x:c r="F145" s="15" t="str">
        <x:v>Đang mở</x:v>
      </x:c>
      <x:c r="G145" s="19" t="n">
        <x:v>24</x:v>
      </x:c>
      <x:c r="H145" s="18" t="n">
        <x:v>1750000</x:v>
      </x:c>
    </x:row>
    <x:row r="146" ht="27" customHeight="1">
      <x:c r="A146" s="15" t="str">
        <x:v>KH145</x:v>
      </x:c>
      <x:c r="B146" s="15" t="str">
        <x:v>Cấu trúc dữ liệu 15</x:v>
      </x:c>
      <x:c r="C146" s="15" t="str">
        <x:v>CNTT</x:v>
      </x:c>
      <x:c r="D146" s="15" t="str">
        <x:v>Cơ bản</x:v>
      </x:c>
      <x:c r="E146" s="15" t="str">
        <x:v>Trực tuyến</x:v>
      </x:c>
      <x:c r="F146" s="15" t="str">
        <x:v>Đang mở</x:v>
      </x:c>
      <x:c r="G146" s="19" t="n">
        <x:v>8</x:v>
      </x:c>
      <x:c r="H146" s="18" t="n">
        <x:v>500000</x:v>
      </x:c>
    </x:row>
    <x:row r="147" ht="27" customHeight="1" hidden="1">
      <x:c r="A147" s="15" t="str">
        <x:v>KH146</x:v>
      </x:c>
      <x:c r="B147" s="15" t="str">
        <x:v>Mạng máy tính 15</x:v>
      </x:c>
      <x:c r="C147" s="15" t="str">
        <x:v>QTKD</x:v>
      </x:c>
      <x:c r="D147" s="15" t="str">
        <x:v>Cơ bản</x:v>
      </x:c>
      <x:c r="E147" s="15" t="str">
        <x:v>Kết hợp</x:v>
      </x:c>
      <x:c r="F147" s="15" t="str">
        <x:v>Đã đóng</x:v>
      </x:c>
      <x:c r="G147" s="19" t="n">
        <x:v>10</x:v>
      </x:c>
      <x:c r="H147" s="18" t="n">
        <x:v>750000</x:v>
      </x:c>
    </x:row>
    <x:row r="148" ht="27" customHeight="1" hidden="1">
      <x:c r="A148" s="15" t="str">
        <x:v>KH147</x:v>
      </x:c>
      <x:c r="B148" s="15" t="str">
        <x:v>Excel 15</x:v>
      </x:c>
      <x:c r="C148" s="15" t="str">
        <x:v>DTVT</x:v>
      </x:c>
      <x:c r="D148" s="15" t="str">
        <x:v>Cơ bản</x:v>
      </x:c>
      <x:c r="E148" s="15" t="str">
        <x:v>Trực tuyến</x:v>
      </x:c>
      <x:c r="F148" s="15" t="str">
        <x:v>Đang mở</x:v>
      </x:c>
      <x:c r="G148" s="19" t="n">
        <x:v>12</x:v>
      </x:c>
      <x:c r="H148" s="18" t="n">
        <x:v>1000000</x:v>
      </x:c>
    </x:row>
    <x:row r="149" ht="27" customHeight="1">
      <x:c r="A149" s="15" t="str">
        <x:v>KH148</x:v>
      </x:c>
      <x:c r="B149" s="15" t="str">
        <x:v>Thiết kế UI UX 15</x:v>
      </x:c>
      <x:c r="C149" s="15" t="str">
        <x:v>CNTT</x:v>
      </x:c>
      <x:c r="D149" s="15" t="str">
        <x:v>Cơ bản</x:v>
      </x:c>
      <x:c r="E149" s="15" t="str">
        <x:v>Kết hợp</x:v>
      </x:c>
      <x:c r="F149" s="15" t="str">
        <x:v>Đang mở</x:v>
      </x:c>
      <x:c r="G149" s="19" t="n">
        <x:v>14</x:v>
      </x:c>
      <x:c r="H149" s="18" t="n">
        <x:v>1250000</x:v>
      </x:c>
    </x:row>
    <x:row r="150" ht="27" customHeight="1" hidden="1">
      <x:c r="A150" s="15" t="str">
        <x:v>KH149</x:v>
      </x:c>
      <x:c r="B150" s="15" t="str">
        <x:v>Marketing số 15</x:v>
      </x:c>
      <x:c r="C150" s="15" t="str">
        <x:v>CNTT</x:v>
      </x:c>
      <x:c r="D150" s="15" t="str">
        <x:v>Trung cấp</x:v>
      </x:c>
      <x:c r="E150" s="15" t="str">
        <x:v>Trực tuyến</x:v>
      </x:c>
      <x:c r="F150" s="15" t="str">
        <x:v>Đang mở</x:v>
      </x:c>
      <x:c r="G150" s="19" t="n">
        <x:v>16</x:v>
      </x:c>
      <x:c r="H150" s="18" t="n">
        <x:v>1500000</x:v>
      </x:c>
    </x:row>
    <x:row r="151" ht="27" customHeight="1" hidden="1">
      <x:c r="A151" s="15" t="str">
        <x:v>KH150</x:v>
      </x:c>
      <x:c r="B151" s="15" t="str">
        <x:v>Tiếng Anh 15</x:v>
      </x:c>
      <x:c r="C151" s="15" t="str">
        <x:v>QTKD</x:v>
      </x:c>
      <x:c r="D151" s="15" t="str">
        <x:v>Trung cấp</x:v>
      </x:c>
      <x:c r="E151" s="15" t="str">
        <x:v>Kết hợp</x:v>
      </x:c>
      <x:c r="F151" s="15" t="str">
        <x:v>Đang mở</x:v>
      </x:c>
      <x:c r="G151" s="19" t="n">
        <x:v>18</x:v>
      </x:c>
      <x:c r="H151" s="18" t="n">
        <x:v>1750000</x:v>
      </x:c>
    </x:row>
    <x:row r="152" ht="27" customHeight="1" hidden="1">
      <x:c r="A152" s="15" t="str">
        <x:v>KH151</x:v>
      </x:c>
      <x:c r="B152" s="15" t="str">
        <x:v>HTML và CSS 16</x:v>
      </x:c>
      <x:c r="C152" s="15" t="str">
        <x:v>DTVT</x:v>
      </x:c>
      <x:c r="D152" s="15" t="str">
        <x:v>Trung cấp</x:v>
      </x:c>
      <x:c r="E152" s="15" t="str">
        <x:v>Trực tuyến</x:v>
      </x:c>
      <x:c r="F152" s="15" t="str">
        <x:v>Đã đóng</x:v>
      </x:c>
      <x:c r="G152" s="19" t="n">
        <x:v>20</x:v>
      </x:c>
      <x:c r="H152" s="18" t="n">
        <x:v>500000</x:v>
      </x:c>
    </x:row>
    <x:row r="153" ht="27" customHeight="1" hidden="1">
      <x:c r="A153" s="15" t="str">
        <x:v>KH152</x:v>
      </x:c>
      <x:c r="B153" s="15" t="str">
        <x:v>JavaScript 16</x:v>
      </x:c>
      <x:c r="C153" s="15" t="str">
        <x:v>CNTT</x:v>
      </x:c>
      <x:c r="D153" s="15" t="str">
        <x:v>Trung cấp</x:v>
      </x:c>
      <x:c r="E153" s="15" t="str">
        <x:v>Kết hợp</x:v>
      </x:c>
      <x:c r="F153" s="15" t="str">
        <x:v>Đang mở</x:v>
      </x:c>
      <x:c r="G153" s="19" t="n">
        <x:v>22</x:v>
      </x:c>
      <x:c r="H153" s="18" t="n">
        <x:v>750000</x:v>
      </x:c>
    </x:row>
    <x:row r="154" ht="27" customHeight="1" hidden="1">
      <x:c r="A154" s="15" t="str">
        <x:v>KH153</x:v>
      </x:c>
      <x:c r="B154" s="15" t="str">
        <x:v>Python 16</x:v>
      </x:c>
      <x:c r="C154" s="15" t="str">
        <x:v>CNTT</x:v>
      </x:c>
      <x:c r="D154" s="15" t="str">
        <x:v>Nâng cao</x:v>
      </x:c>
      <x:c r="E154" s="15" t="str">
        <x:v>Trực tuyến</x:v>
      </x:c>
      <x:c r="F154" s="15" t="str">
        <x:v>Đang mở</x:v>
      </x:c>
      <x:c r="G154" s="19" t="n">
        <x:v>24</x:v>
      </x:c>
      <x:c r="H154" s="18" t="n">
        <x:v>1000000</x:v>
      </x:c>
    </x:row>
    <x:row r="155" ht="27" customHeight="1" hidden="1">
      <x:c r="A155" s="15" t="str">
        <x:v>KH154</x:v>
      </x:c>
      <x:c r="B155" s="15" t="str">
        <x:v>Cơ sở dữ liệu 16</x:v>
      </x:c>
      <x:c r="C155" s="15" t="str">
        <x:v>QTKD</x:v>
      </x:c>
      <x:c r="D155" s="15" t="str">
        <x:v>Nâng cao</x:v>
      </x:c>
      <x:c r="E155" s="15" t="str">
        <x:v>Kết hợp</x:v>
      </x:c>
      <x:c r="F155" s="15" t="str">
        <x:v>Đang mở</x:v>
      </x:c>
      <x:c r="G155" s="19" t="n">
        <x:v>8</x:v>
      </x:c>
      <x:c r="H155" s="18" t="n">
        <x:v>1250000</x:v>
      </x:c>
    </x:row>
    <x:row r="156" ht="27" customHeight="1" hidden="1">
      <x:c r="A156" s="15" t="str">
        <x:v>KH155</x:v>
      </x:c>
      <x:c r="B156" s="15" t="str">
        <x:v>Cấu trúc dữ liệu 16</x:v>
      </x:c>
      <x:c r="C156" s="15" t="str">
        <x:v>DTVT</x:v>
      </x:c>
      <x:c r="D156" s="15" t="str">
        <x:v>Nâng cao</x:v>
      </x:c>
      <x:c r="E156" s="15" t="str">
        <x:v>Trực tuyến</x:v>
      </x:c>
      <x:c r="F156" s="15" t="str">
        <x:v>Đang mở</x:v>
      </x:c>
      <x:c r="G156" s="19" t="n">
        <x:v>10</x:v>
      </x:c>
      <x:c r="H156" s="18" t="n">
        <x:v>1500000</x:v>
      </x:c>
    </x:row>
    <x:row r="157" ht="27" customHeight="1" hidden="1">
      <x:c r="A157" s="15" t="str">
        <x:v>KH156</x:v>
      </x:c>
      <x:c r="B157" s="15" t="str">
        <x:v>Mạng máy tính 16</x:v>
      </x:c>
      <x:c r="C157" s="15" t="str">
        <x:v>CNTT</x:v>
      </x:c>
      <x:c r="D157" s="15" t="str">
        <x:v>Nâng cao</x:v>
      </x:c>
      <x:c r="E157" s="15" t="str">
        <x:v>Kết hợp</x:v>
      </x:c>
      <x:c r="F157" s="15" t="str">
        <x:v>Đã đóng</x:v>
      </x:c>
      <x:c r="G157" s="19" t="n">
        <x:v>12</x:v>
      </x:c>
      <x:c r="H157" s="18" t="n">
        <x:v>1750000</x:v>
      </x:c>
    </x:row>
    <x:row r="158" ht="27" customHeight="1">
      <x:c r="A158" s="15" t="str">
        <x:v>KH157</x:v>
      </x:c>
      <x:c r="B158" s="15" t="str">
        <x:v>Excel 16</x:v>
      </x:c>
      <x:c r="C158" s="15" t="str">
        <x:v>CNTT</x:v>
      </x:c>
      <x:c r="D158" s="15" t="str">
        <x:v>Cơ bản</x:v>
      </x:c>
      <x:c r="E158" s="15" t="str">
        <x:v>Trực tuyến</x:v>
      </x:c>
      <x:c r="F158" s="15" t="str">
        <x:v>Đang mở</x:v>
      </x:c>
      <x:c r="G158" s="19" t="n">
        <x:v>14</x:v>
      </x:c>
      <x:c r="H158" s="18" t="n">
        <x:v>500000</x:v>
      </x:c>
    </x:row>
    <x:row r="159" ht="27" customHeight="1" hidden="1">
      <x:c r="A159" s="15" t="str">
        <x:v>KH158</x:v>
      </x:c>
      <x:c r="B159" s="15" t="str">
        <x:v>Thiết kế UI UX 16</x:v>
      </x:c>
      <x:c r="C159" s="15" t="str">
        <x:v>QTKD</x:v>
      </x:c>
      <x:c r="D159" s="15" t="str">
        <x:v>Cơ bản</x:v>
      </x:c>
      <x:c r="E159" s="15" t="str">
        <x:v>Kết hợp</x:v>
      </x:c>
      <x:c r="F159" s="15" t="str">
        <x:v>Đang mở</x:v>
      </x:c>
      <x:c r="G159" s="19" t="n">
        <x:v>16</x:v>
      </x:c>
      <x:c r="H159" s="18" t="n">
        <x:v>750000</x:v>
      </x:c>
    </x:row>
    <x:row r="160" ht="27" customHeight="1" hidden="1">
      <x:c r="A160" s="15" t="str">
        <x:v>KH159</x:v>
      </x:c>
      <x:c r="B160" s="15" t="str">
        <x:v>Marketing số 16</x:v>
      </x:c>
      <x:c r="C160" s="15" t="str">
        <x:v>DTVT</x:v>
      </x:c>
      <x:c r="D160" s="15" t="str">
        <x:v>Cơ bản</x:v>
      </x:c>
      <x:c r="E160" s="15" t="str">
        <x:v>Trực tuyến</x:v>
      </x:c>
      <x:c r="F160" s="15" t="str">
        <x:v>Đang mở</x:v>
      </x:c>
      <x:c r="G160" s="19" t="n">
        <x:v>18</x:v>
      </x:c>
      <x:c r="H160" s="18" t="n">
        <x:v>1000000</x:v>
      </x:c>
    </x:row>
    <x:row r="161" ht="27" customHeight="1">
      <x:c r="A161" s="15" t="str">
        <x:v>KH160</x:v>
      </x:c>
      <x:c r="B161" s="15" t="str">
        <x:v>Tiếng Anh 16</x:v>
      </x:c>
      <x:c r="C161" s="15" t="str">
        <x:v>CNTT</x:v>
      </x:c>
      <x:c r="D161" s="15" t="str">
        <x:v>Cơ bản</x:v>
      </x:c>
      <x:c r="E161" s="15" t="str">
        <x:v>Kết hợp</x:v>
      </x:c>
      <x:c r="F161" s="15" t="str">
        <x:v>Đang mở</x:v>
      </x:c>
      <x:c r="G161" s="19" t="n">
        <x:v>20</x:v>
      </x:c>
      <x:c r="H161" s="18" t="n">
        <x:v>1250000</x:v>
      </x:c>
    </x:row>
    <x:row r="162" ht="27" customHeight="1" hidden="1">
      <x:c r="A162" s="15" t="str">
        <x:v>KH161</x:v>
      </x:c>
      <x:c r="B162" s="15" t="str">
        <x:v>HTML và CSS 17</x:v>
      </x:c>
      <x:c r="C162" s="15" t="str">
        <x:v>CNTT</x:v>
      </x:c>
      <x:c r="D162" s="15" t="str">
        <x:v>Trung cấp</x:v>
      </x:c>
      <x:c r="E162" s="15" t="str">
        <x:v>Trực tuyến</x:v>
      </x:c>
      <x:c r="F162" s="15" t="str">
        <x:v>Đã đóng</x:v>
      </x:c>
      <x:c r="G162" s="19" t="n">
        <x:v>22</x:v>
      </x:c>
      <x:c r="H162" s="18" t="n">
        <x:v>1500000</x:v>
      </x:c>
    </x:row>
    <x:row r="163" ht="27" customHeight="1" hidden="1">
      <x:c r="A163" s="15" t="str">
        <x:v>KH162</x:v>
      </x:c>
      <x:c r="B163" s="15" t="str">
        <x:v>JavaScript 17</x:v>
      </x:c>
      <x:c r="C163" s="15" t="str">
        <x:v>QTKD</x:v>
      </x:c>
      <x:c r="D163" s="15" t="str">
        <x:v>Trung cấp</x:v>
      </x:c>
      <x:c r="E163" s="15" t="str">
        <x:v>Kết hợp</x:v>
      </x:c>
      <x:c r="F163" s="15" t="str">
        <x:v>Đang mở</x:v>
      </x:c>
      <x:c r="G163" s="19" t="n">
        <x:v>24</x:v>
      </x:c>
      <x:c r="H163" s="18" t="n">
        <x:v>1750000</x:v>
      </x:c>
    </x:row>
    <x:row r="164" ht="27" customHeight="1" hidden="1">
      <x:c r="A164" s="15" t="str">
        <x:v>KH163</x:v>
      </x:c>
      <x:c r="B164" s="15" t="str">
        <x:v>Python 17</x:v>
      </x:c>
      <x:c r="C164" s="15" t="str">
        <x:v>DTVT</x:v>
      </x:c>
      <x:c r="D164" s="15" t="str">
        <x:v>Trung cấp</x:v>
      </x:c>
      <x:c r="E164" s="15" t="str">
        <x:v>Trực tuyến</x:v>
      </x:c>
      <x:c r="F164" s="15" t="str">
        <x:v>Đang mở</x:v>
      </x:c>
      <x:c r="G164" s="19" t="n">
        <x:v>8</x:v>
      </x:c>
      <x:c r="H164" s="18" t="n">
        <x:v>500000</x:v>
      </x:c>
    </x:row>
    <x:row r="165" ht="27" customHeight="1" hidden="1">
      <x:c r="A165" s="15" t="str">
        <x:v>KH164</x:v>
      </x:c>
      <x:c r="B165" s="15" t="str">
        <x:v>Cơ sở dữ liệu 17</x:v>
      </x:c>
      <x:c r="C165" s="15" t="str">
        <x:v>CNTT</x:v>
      </x:c>
      <x:c r="D165" s="15" t="str">
        <x:v>Trung cấp</x:v>
      </x:c>
      <x:c r="E165" s="15" t="str">
        <x:v>Kết hợp</x:v>
      </x:c>
      <x:c r="F165" s="15" t="str">
        <x:v>Đang mở</x:v>
      </x:c>
      <x:c r="G165" s="19" t="n">
        <x:v>10</x:v>
      </x:c>
      <x:c r="H165" s="18" t="n">
        <x:v>750000</x:v>
      </x:c>
    </x:row>
    <x:row r="166" ht="27" customHeight="1" hidden="1">
      <x:c r="A166" s="15" t="str">
        <x:v>KH165</x:v>
      </x:c>
      <x:c r="B166" s="15" t="str">
        <x:v>Cấu trúc dữ liệu 17</x:v>
      </x:c>
      <x:c r="C166" s="15" t="str">
        <x:v>CNTT</x:v>
      </x:c>
      <x:c r="D166" s="15" t="str">
        <x:v>Nâng cao</x:v>
      </x:c>
      <x:c r="E166" s="15" t="str">
        <x:v>Trực tuyến</x:v>
      </x:c>
      <x:c r="F166" s="15" t="str">
        <x:v>Đang mở</x:v>
      </x:c>
      <x:c r="G166" s="19" t="n">
        <x:v>12</x:v>
      </x:c>
      <x:c r="H166" s="18" t="n">
        <x:v>1000000</x:v>
      </x:c>
    </x:row>
    <x:row r="167" ht="27" customHeight="1" hidden="1">
      <x:c r="A167" s="15" t="str">
        <x:v>KH166</x:v>
      </x:c>
      <x:c r="B167" s="15" t="str">
        <x:v>Mạng máy tính 17</x:v>
      </x:c>
      <x:c r="C167" s="15" t="str">
        <x:v>QTKD</x:v>
      </x:c>
      <x:c r="D167" s="15" t="str">
        <x:v>Nâng cao</x:v>
      </x:c>
      <x:c r="E167" s="15" t="str">
        <x:v>Kết hợp</x:v>
      </x:c>
      <x:c r="F167" s="15" t="str">
        <x:v>Đã đóng</x:v>
      </x:c>
      <x:c r="G167" s="19" t="n">
        <x:v>14</x:v>
      </x:c>
      <x:c r="H167" s="18" t="n">
        <x:v>1250000</x:v>
      </x:c>
    </x:row>
    <x:row r="168" ht="27" customHeight="1" hidden="1">
      <x:c r="A168" s="15" t="str">
        <x:v>KH167</x:v>
      </x:c>
      <x:c r="B168" s="15" t="str">
        <x:v>Excel 17</x:v>
      </x:c>
      <x:c r="C168" s="15" t="str">
        <x:v>DTVT</x:v>
      </x:c>
      <x:c r="D168" s="15" t="str">
        <x:v>Nâng cao</x:v>
      </x:c>
      <x:c r="E168" s="15" t="str">
        <x:v>Trực tuyến</x:v>
      </x:c>
      <x:c r="F168" s="15" t="str">
        <x:v>Đang mở</x:v>
      </x:c>
      <x:c r="G168" s="19" t="n">
        <x:v>16</x:v>
      </x:c>
      <x:c r="H168" s="18" t="n">
        <x:v>1500000</x:v>
      </x:c>
    </x:row>
    <x:row r="169" ht="27" customHeight="1" hidden="1">
      <x:c r="A169" s="15" t="str">
        <x:v>KH168</x:v>
      </x:c>
      <x:c r="B169" s="15" t="str">
        <x:v>Thiết kế UI UX 17</x:v>
      </x:c>
      <x:c r="C169" s="15" t="str">
        <x:v>CNTT</x:v>
      </x:c>
      <x:c r="D169" s="15" t="str">
        <x:v>Nâng cao</x:v>
      </x:c>
      <x:c r="E169" s="15" t="str">
        <x:v>Kết hợp</x:v>
      </x:c>
      <x:c r="F169" s="15" t="str">
        <x:v>Đang mở</x:v>
      </x:c>
      <x:c r="G169" s="19" t="n">
        <x:v>18</x:v>
      </x:c>
      <x:c r="H169" s="18" t="n">
        <x:v>1750000</x:v>
      </x:c>
    </x:row>
    <x:row r="170" ht="27" customHeight="1">
      <x:c r="A170" s="15" t="str">
        <x:v>KH169</x:v>
      </x:c>
      <x:c r="B170" s="15" t="str">
        <x:v>Marketing số 17</x:v>
      </x:c>
      <x:c r="C170" s="15" t="str">
        <x:v>CNTT</x:v>
      </x:c>
      <x:c r="D170" s="15" t="str">
        <x:v>Cơ bản</x:v>
      </x:c>
      <x:c r="E170" s="15" t="str">
        <x:v>Trực tuyến</x:v>
      </x:c>
      <x:c r="F170" s="15" t="str">
        <x:v>Đang mở</x:v>
      </x:c>
      <x:c r="G170" s="19" t="n">
        <x:v>20</x:v>
      </x:c>
      <x:c r="H170" s="18" t="n">
        <x:v>500000</x:v>
      </x:c>
    </x:row>
    <x:row r="171" ht="27" customHeight="1" hidden="1">
      <x:c r="A171" s="15" t="str">
        <x:v>KH170</x:v>
      </x:c>
      <x:c r="B171" s="15" t="str">
        <x:v>Tiếng Anh 17</x:v>
      </x:c>
      <x:c r="C171" s="15" t="str">
        <x:v>QTKD</x:v>
      </x:c>
      <x:c r="D171" s="15" t="str">
        <x:v>Cơ bản</x:v>
      </x:c>
      <x:c r="E171" s="15" t="str">
        <x:v>Kết hợp</x:v>
      </x:c>
      <x:c r="F171" s="15" t="str">
        <x:v>Đang mở</x:v>
      </x:c>
      <x:c r="G171" s="19" t="n">
        <x:v>22</x:v>
      </x:c>
      <x:c r="H171" s="18" t="n">
        <x:v>750000</x:v>
      </x:c>
    </x:row>
    <x:row r="172" ht="27" customHeight="1" hidden="1">
      <x:c r="A172" s="15" t="str">
        <x:v>KH171</x:v>
      </x:c>
      <x:c r="B172" s="15" t="str">
        <x:v>HTML và CSS 18</x:v>
      </x:c>
      <x:c r="C172" s="15" t="str">
        <x:v>DTVT</x:v>
      </x:c>
      <x:c r="D172" s="15" t="str">
        <x:v>Cơ bản</x:v>
      </x:c>
      <x:c r="E172" s="15" t="str">
        <x:v>Trực tuyến</x:v>
      </x:c>
      <x:c r="F172" s="15" t="str">
        <x:v>Đã đóng</x:v>
      </x:c>
      <x:c r="G172" s="19" t="n">
        <x:v>24</x:v>
      </x:c>
      <x:c r="H172" s="18" t="n">
        <x:v>1000000</x:v>
      </x:c>
    </x:row>
    <x:row r="173" ht="27" customHeight="1">
      <x:c r="A173" s="15" t="str">
        <x:v>KH172</x:v>
      </x:c>
      <x:c r="B173" s="15" t="str">
        <x:v>JavaScript 18</x:v>
      </x:c>
      <x:c r="C173" s="15" t="str">
        <x:v>CNTT</x:v>
      </x:c>
      <x:c r="D173" s="15" t="str">
        <x:v>Cơ bản</x:v>
      </x:c>
      <x:c r="E173" s="15" t="str">
        <x:v>Kết hợp</x:v>
      </x:c>
      <x:c r="F173" s="15" t="str">
        <x:v>Đang mở</x:v>
      </x:c>
      <x:c r="G173" s="19" t="n">
        <x:v>8</x:v>
      </x:c>
      <x:c r="H173" s="18" t="n">
        <x:v>1250000</x:v>
      </x:c>
    </x:row>
    <x:row r="174" ht="27" customHeight="1" hidden="1">
      <x:c r="A174" s="15" t="str">
        <x:v>KH173</x:v>
      </x:c>
      <x:c r="B174" s="15" t="str">
        <x:v>Python 18</x:v>
      </x:c>
      <x:c r="C174" s="15" t="str">
        <x:v>CNTT</x:v>
      </x:c>
      <x:c r="D174" s="15" t="str">
        <x:v>Trung cấp</x:v>
      </x:c>
      <x:c r="E174" s="15" t="str">
        <x:v>Trực tuyến</x:v>
      </x:c>
      <x:c r="F174" s="15" t="str">
        <x:v>Đang mở</x:v>
      </x:c>
      <x:c r="G174" s="19" t="n">
        <x:v>10</x:v>
      </x:c>
      <x:c r="H174" s="18" t="n">
        <x:v>1500000</x:v>
      </x:c>
    </x:row>
    <x:row r="175" ht="27" customHeight="1" hidden="1">
      <x:c r="A175" s="15" t="str">
        <x:v>KH174</x:v>
      </x:c>
      <x:c r="B175" s="15" t="str">
        <x:v>Cơ sở dữ liệu 18</x:v>
      </x:c>
      <x:c r="C175" s="15" t="str">
        <x:v>QTKD</x:v>
      </x:c>
      <x:c r="D175" s="15" t="str">
        <x:v>Trung cấp</x:v>
      </x:c>
      <x:c r="E175" s="15" t="str">
        <x:v>Kết hợp</x:v>
      </x:c>
      <x:c r="F175" s="15" t="str">
        <x:v>Đang mở</x:v>
      </x:c>
      <x:c r="G175" s="19" t="n">
        <x:v>12</x:v>
      </x:c>
      <x:c r="H175" s="18" t="n">
        <x:v>1750000</x:v>
      </x:c>
    </x:row>
    <x:row r="176" ht="27" customHeight="1" hidden="1">
      <x:c r="A176" s="15" t="str">
        <x:v>KH175</x:v>
      </x:c>
      <x:c r="B176" s="15" t="str">
        <x:v>Cấu trúc dữ liệu 18</x:v>
      </x:c>
      <x:c r="C176" s="15" t="str">
        <x:v>DTVT</x:v>
      </x:c>
      <x:c r="D176" s="15" t="str">
        <x:v>Trung cấp</x:v>
      </x:c>
      <x:c r="E176" s="15" t="str">
        <x:v>Trực tuyến</x:v>
      </x:c>
      <x:c r="F176" s="15" t="str">
        <x:v>Đang mở</x:v>
      </x:c>
      <x:c r="G176" s="19" t="n">
        <x:v>14</x:v>
      </x:c>
      <x:c r="H176" s="18" t="n">
        <x:v>500000</x:v>
      </x:c>
    </x:row>
    <x:row r="177" ht="27" customHeight="1" hidden="1">
      <x:c r="A177" s="15" t="str">
        <x:v>KH176</x:v>
      </x:c>
      <x:c r="B177" s="15" t="str">
        <x:v>Mạng máy tính 18</x:v>
      </x:c>
      <x:c r="C177" s="15" t="str">
        <x:v>CNTT</x:v>
      </x:c>
      <x:c r="D177" s="15" t="str">
        <x:v>Trung cấp</x:v>
      </x:c>
      <x:c r="E177" s="15" t="str">
        <x:v>Kết hợp</x:v>
      </x:c>
      <x:c r="F177" s="15" t="str">
        <x:v>Đã đóng</x:v>
      </x:c>
      <x:c r="G177" s="19" t="n">
        <x:v>16</x:v>
      </x:c>
      <x:c r="H177" s="18" t="n">
        <x:v>750000</x:v>
      </x:c>
    </x:row>
    <x:row r="178" ht="27" customHeight="1" hidden="1">
      <x:c r="A178" s="15" t="str">
        <x:v>KH177</x:v>
      </x:c>
      <x:c r="B178" s="15" t="str">
        <x:v>Excel 18</x:v>
      </x:c>
      <x:c r="C178" s="15" t="str">
        <x:v>CNTT</x:v>
      </x:c>
      <x:c r="D178" s="15" t="str">
        <x:v>Nâng cao</x:v>
      </x:c>
      <x:c r="E178" s="15" t="str">
        <x:v>Trực tuyến</x:v>
      </x:c>
      <x:c r="F178" s="15" t="str">
        <x:v>Đang mở</x:v>
      </x:c>
      <x:c r="G178" s="19" t="n">
        <x:v>18</x:v>
      </x:c>
      <x:c r="H178" s="18" t="n">
        <x:v>1000000</x:v>
      </x:c>
    </x:row>
    <x:row r="179" ht="27" customHeight="1" hidden="1">
      <x:c r="A179" s="15" t="str">
        <x:v>KH178</x:v>
      </x:c>
      <x:c r="B179" s="15" t="str">
        <x:v>Thiết kế UI UX 18</x:v>
      </x:c>
      <x:c r="C179" s="15" t="str">
        <x:v>QTKD</x:v>
      </x:c>
      <x:c r="D179" s="15" t="str">
        <x:v>Nâng cao</x:v>
      </x:c>
      <x:c r="E179" s="15" t="str">
        <x:v>Kết hợp</x:v>
      </x:c>
      <x:c r="F179" s="15" t="str">
        <x:v>Đang mở</x:v>
      </x:c>
      <x:c r="G179" s="19" t="n">
        <x:v>20</x:v>
      </x:c>
      <x:c r="H179" s="18" t="n">
        <x:v>1250000</x:v>
      </x:c>
    </x:row>
    <x:row r="180" ht="27" customHeight="1" hidden="1">
      <x:c r="A180" s="15" t="str">
        <x:v>KH179</x:v>
      </x:c>
      <x:c r="B180" s="15" t="str">
        <x:v>Marketing số 18</x:v>
      </x:c>
      <x:c r="C180" s="15" t="str">
        <x:v>DTVT</x:v>
      </x:c>
      <x:c r="D180" s="15" t="str">
        <x:v>Nâng cao</x:v>
      </x:c>
      <x:c r="E180" s="15" t="str">
        <x:v>Trực tuyến</x:v>
      </x:c>
      <x:c r="F180" s="15" t="str">
        <x:v>Đang mở</x:v>
      </x:c>
      <x:c r="G180" s="19" t="n">
        <x:v>22</x:v>
      </x:c>
      <x:c r="H180" s="18" t="n">
        <x:v>1500000</x:v>
      </x:c>
    </x:row>
    <x:row r="181" ht="27" customHeight="1" hidden="1">
      <x:c r="A181" s="15" t="str">
        <x:v>KH180</x:v>
      </x:c>
      <x:c r="B181" s="15" t="str">
        <x:v>Tiếng Anh 18</x:v>
      </x:c>
      <x:c r="C181" s="15" t="str">
        <x:v>CNTT</x:v>
      </x:c>
      <x:c r="D181" s="15" t="str">
        <x:v>Nâng cao</x:v>
      </x:c>
      <x:c r="E181" s="15" t="str">
        <x:v>Kết hợp</x:v>
      </x:c>
      <x:c r="F181" s="15" t="str">
        <x:v>Đang mở</x:v>
      </x:c>
      <x:c r="G181" s="19" t="n">
        <x:v>24</x:v>
      </x:c>
      <x:c r="H181" s="18" t="n">
        <x:v>1750000</x:v>
      </x:c>
    </x:row>
    <x:row r="182" ht="27" customHeight="1" hidden="1">
      <x:c r="A182" s="15" t="str">
        <x:v>KH181</x:v>
      </x:c>
      <x:c r="B182" s="15" t="str">
        <x:v>HTML và CSS 19</x:v>
      </x:c>
      <x:c r="C182" s="15" t="str">
        <x:v>CNTT</x:v>
      </x:c>
      <x:c r="D182" s="15" t="str">
        <x:v>Cơ bản</x:v>
      </x:c>
      <x:c r="E182" s="15" t="str">
        <x:v>Trực tuyến</x:v>
      </x:c>
      <x:c r="F182" s="15" t="str">
        <x:v>Đã đóng</x:v>
      </x:c>
      <x:c r="G182" s="19" t="n">
        <x:v>8</x:v>
      </x:c>
      <x:c r="H182" s="18" t="n">
        <x:v>500000</x:v>
      </x:c>
    </x:row>
    <x:row r="183" ht="27" customHeight="1" hidden="1">
      <x:c r="A183" s="15" t="str">
        <x:v>KH182</x:v>
      </x:c>
      <x:c r="B183" s="15" t="str">
        <x:v>JavaScript 19</x:v>
      </x:c>
      <x:c r="C183" s="15" t="str">
        <x:v>QTKD</x:v>
      </x:c>
      <x:c r="D183" s="15" t="str">
        <x:v>Cơ bản</x:v>
      </x:c>
      <x:c r="E183" s="15" t="str">
        <x:v>Kết hợp</x:v>
      </x:c>
      <x:c r="F183" s="15" t="str">
        <x:v>Đang mở</x:v>
      </x:c>
      <x:c r="G183" s="19" t="n">
        <x:v>10</x:v>
      </x:c>
      <x:c r="H183" s="18" t="n">
        <x:v>750000</x:v>
      </x:c>
    </x:row>
    <x:row r="184" ht="27" customHeight="1" hidden="1">
      <x:c r="A184" s="15" t="str">
        <x:v>KH183</x:v>
      </x:c>
      <x:c r="B184" s="15" t="str">
        <x:v>Python 19</x:v>
      </x:c>
      <x:c r="C184" s="15" t="str">
        <x:v>DTVT</x:v>
      </x:c>
      <x:c r="D184" s="15" t="str">
        <x:v>Cơ bản</x:v>
      </x:c>
      <x:c r="E184" s="15" t="str">
        <x:v>Trực tuyến</x:v>
      </x:c>
      <x:c r="F184" s="15" t="str">
        <x:v>Đang mở</x:v>
      </x:c>
      <x:c r="G184" s="19" t="n">
        <x:v>12</x:v>
      </x:c>
      <x:c r="H184" s="18" t="n">
        <x:v>1000000</x:v>
      </x:c>
    </x:row>
    <x:row r="185" ht="27" customHeight="1">
      <x:c r="A185" s="15" t="str">
        <x:v>KH184</x:v>
      </x:c>
      <x:c r="B185" s="15" t="str">
        <x:v>Cơ sở dữ liệu 19</x:v>
      </x:c>
      <x:c r="C185" s="15" t="str">
        <x:v>CNTT</x:v>
      </x:c>
      <x:c r="D185" s="15" t="str">
        <x:v>Cơ bản</x:v>
      </x:c>
      <x:c r="E185" s="15" t="str">
        <x:v>Kết hợp</x:v>
      </x:c>
      <x:c r="F185" s="15" t="str">
        <x:v>Đang mở</x:v>
      </x:c>
      <x:c r="G185" s="19" t="n">
        <x:v>14</x:v>
      </x:c>
      <x:c r="H185" s="18" t="n">
        <x:v>1250000</x:v>
      </x:c>
    </x:row>
    <x:row r="186" ht="27" customHeight="1" hidden="1">
      <x:c r="A186" s="15" t="str">
        <x:v>KH185</x:v>
      </x:c>
      <x:c r="B186" s="15" t="str">
        <x:v>Cấu trúc dữ liệu 19</x:v>
      </x:c>
      <x:c r="C186" s="15" t="str">
        <x:v>CNTT</x:v>
      </x:c>
      <x:c r="D186" s="15" t="str">
        <x:v>Trung cấp</x:v>
      </x:c>
      <x:c r="E186" s="15" t="str">
        <x:v>Trực tuyến</x:v>
      </x:c>
      <x:c r="F186" s="15" t="str">
        <x:v>Đang mở</x:v>
      </x:c>
      <x:c r="G186" s="19" t="n">
        <x:v>16</x:v>
      </x:c>
      <x:c r="H186" s="18" t="n">
        <x:v>1500000</x:v>
      </x:c>
    </x:row>
    <x:row r="187" ht="27" customHeight="1" hidden="1">
      <x:c r="A187" s="15" t="str">
        <x:v>KH186</x:v>
      </x:c>
      <x:c r="B187" s="15" t="str">
        <x:v>Mạng máy tính 19</x:v>
      </x:c>
      <x:c r="C187" s="15" t="str">
        <x:v>QTKD</x:v>
      </x:c>
      <x:c r="D187" s="15" t="str">
        <x:v>Trung cấp</x:v>
      </x:c>
      <x:c r="E187" s="15" t="str">
        <x:v>Kết hợp</x:v>
      </x:c>
      <x:c r="F187" s="15" t="str">
        <x:v>Đã đóng</x:v>
      </x:c>
      <x:c r="G187" s="19" t="n">
        <x:v>18</x:v>
      </x:c>
      <x:c r="H187" s="18" t="n">
        <x:v>1750000</x:v>
      </x:c>
    </x:row>
    <x:row r="188" ht="27" customHeight="1" hidden="1">
      <x:c r="A188" s="15" t="str">
        <x:v>KH187</x:v>
      </x:c>
      <x:c r="B188" s="15" t="str">
        <x:v>Excel 19</x:v>
      </x:c>
      <x:c r="C188" s="15" t="str">
        <x:v>DTVT</x:v>
      </x:c>
      <x:c r="D188" s="15" t="str">
        <x:v>Trung cấp</x:v>
      </x:c>
      <x:c r="E188" s="15" t="str">
        <x:v>Trực tuyến</x:v>
      </x:c>
      <x:c r="F188" s="15" t="str">
        <x:v>Đang mở</x:v>
      </x:c>
      <x:c r="G188" s="19" t="n">
        <x:v>20</x:v>
      </x:c>
      <x:c r="H188" s="18" t="n">
        <x:v>500000</x:v>
      </x:c>
    </x:row>
    <x:row r="189" ht="27" customHeight="1" hidden="1">
      <x:c r="A189" s="15" t="str">
        <x:v>KH188</x:v>
      </x:c>
      <x:c r="B189" s="15" t="str">
        <x:v>Thiết kế UI UX 19</x:v>
      </x:c>
      <x:c r="C189" s="15" t="str">
        <x:v>CNTT</x:v>
      </x:c>
      <x:c r="D189" s="15" t="str">
        <x:v>Trung cấp</x:v>
      </x:c>
      <x:c r="E189" s="15" t="str">
        <x:v>Kết hợp</x:v>
      </x:c>
      <x:c r="F189" s="15" t="str">
        <x:v>Đang mở</x:v>
      </x:c>
      <x:c r="G189" s="19" t="n">
        <x:v>22</x:v>
      </x:c>
      <x:c r="H189" s="18" t="n">
        <x:v>750000</x:v>
      </x:c>
    </x:row>
    <x:row r="190" ht="27" customHeight="1" hidden="1">
      <x:c r="A190" s="15" t="str">
        <x:v>KH189</x:v>
      </x:c>
      <x:c r="B190" s="15" t="str">
        <x:v>Marketing số 19</x:v>
      </x:c>
      <x:c r="C190" s="15" t="str">
        <x:v>CNTT</x:v>
      </x:c>
      <x:c r="D190" s="15" t="str">
        <x:v>Nâng cao</x:v>
      </x:c>
      <x:c r="E190" s="15" t="str">
        <x:v>Trực tuyến</x:v>
      </x:c>
      <x:c r="F190" s="15" t="str">
        <x:v>Đang mở</x:v>
      </x:c>
      <x:c r="G190" s="19" t="n">
        <x:v>24</x:v>
      </x:c>
      <x:c r="H190" s="18" t="n">
        <x:v>1000000</x:v>
      </x:c>
    </x:row>
    <x:row r="191" ht="27" customHeight="1" hidden="1">
      <x:c r="A191" s="15" t="str">
        <x:v>KH190</x:v>
      </x:c>
      <x:c r="B191" s="15" t="str">
        <x:v>Tiếng Anh 19</x:v>
      </x:c>
      <x:c r="C191" s="15" t="str">
        <x:v>QTKD</x:v>
      </x:c>
      <x:c r="D191" s="15" t="str">
        <x:v>Nâng cao</x:v>
      </x:c>
      <x:c r="E191" s="15" t="str">
        <x:v>Kết hợp</x:v>
      </x:c>
      <x:c r="F191" s="15" t="str">
        <x:v>Đang mở</x:v>
      </x:c>
      <x:c r="G191" s="19" t="n">
        <x:v>8</x:v>
      </x:c>
      <x:c r="H191" s="18" t="n">
        <x:v>1250000</x:v>
      </x:c>
    </x:row>
    <x:row r="192" ht="27" customHeight="1" hidden="1">
      <x:c r="A192" s="15" t="str">
        <x:v>KH191</x:v>
      </x:c>
      <x:c r="B192" s="15" t="str">
        <x:v>HTML và CSS 20</x:v>
      </x:c>
      <x:c r="C192" s="15" t="str">
        <x:v>DTVT</x:v>
      </x:c>
      <x:c r="D192" s="15" t="str">
        <x:v>Nâng cao</x:v>
      </x:c>
      <x:c r="E192" s="15" t="str">
        <x:v>Trực tuyến</x:v>
      </x:c>
      <x:c r="F192" s="15" t="str">
        <x:v>Đã đóng</x:v>
      </x:c>
      <x:c r="G192" s="19" t="n">
        <x:v>10</x:v>
      </x:c>
      <x:c r="H192" s="18" t="n">
        <x:v>1500000</x:v>
      </x:c>
    </x:row>
    <x:row r="193" ht="27" customHeight="1" hidden="1">
      <x:c r="A193" s="15" t="str">
        <x:v>KH192</x:v>
      </x:c>
      <x:c r="B193" s="15" t="str">
        <x:v>JavaScript 20</x:v>
      </x:c>
      <x:c r="C193" s="15" t="str">
        <x:v>CNTT</x:v>
      </x:c>
      <x:c r="D193" s="15" t="str">
        <x:v>Nâng cao</x:v>
      </x:c>
      <x:c r="E193" s="15" t="str">
        <x:v>Kết hợp</x:v>
      </x:c>
      <x:c r="F193" s="15" t="str">
        <x:v>Đang mở</x:v>
      </x:c>
      <x:c r="G193" s="19" t="n">
        <x:v>12</x:v>
      </x:c>
      <x:c r="H193" s="18" t="n">
        <x:v>1750000</x:v>
      </x:c>
    </x:row>
    <x:row r="194" ht="27" customHeight="1">
      <x:c r="A194" s="15" t="str">
        <x:v>KH193</x:v>
      </x:c>
      <x:c r="B194" s="15" t="str">
        <x:v>Python 20</x:v>
      </x:c>
      <x:c r="C194" s="15" t="str">
        <x:v>CNTT</x:v>
      </x:c>
      <x:c r="D194" s="15" t="str">
        <x:v>Cơ bản</x:v>
      </x:c>
      <x:c r="E194" s="15" t="str">
        <x:v>Trực tuyến</x:v>
      </x:c>
      <x:c r="F194" s="15" t="str">
        <x:v>Đang mở</x:v>
      </x:c>
      <x:c r="G194" s="19" t="n">
        <x:v>14</x:v>
      </x:c>
      <x:c r="H194" s="18" t="n">
        <x:v>500000</x:v>
      </x:c>
    </x:row>
    <x:row r="195" ht="27" customHeight="1" hidden="1">
      <x:c r="A195" s="15" t="str">
        <x:v>KH194</x:v>
      </x:c>
      <x:c r="B195" s="15" t="str">
        <x:v>Cơ sở dữ liệu 20</x:v>
      </x:c>
      <x:c r="C195" s="15" t="str">
        <x:v>QTKD</x:v>
      </x:c>
      <x:c r="D195" s="15" t="str">
        <x:v>Cơ bản</x:v>
      </x:c>
      <x:c r="E195" s="15" t="str">
        <x:v>Kết hợp</x:v>
      </x:c>
      <x:c r="F195" s="15" t="str">
        <x:v>Đang mở</x:v>
      </x:c>
      <x:c r="G195" s="19" t="n">
        <x:v>16</x:v>
      </x:c>
      <x:c r="H195" s="18" t="n">
        <x:v>750000</x:v>
      </x:c>
    </x:row>
    <x:row r="196" ht="27" customHeight="1" hidden="1">
      <x:c r="A196" s="15" t="str">
        <x:v>KH195</x:v>
      </x:c>
      <x:c r="B196" s="15" t="str">
        <x:v>Cấu trúc dữ liệu 20</x:v>
      </x:c>
      <x:c r="C196" s="15" t="str">
        <x:v>DTVT</x:v>
      </x:c>
      <x:c r="D196" s="15" t="str">
        <x:v>Cơ bản</x:v>
      </x:c>
      <x:c r="E196" s="15" t="str">
        <x:v>Trực tuyến</x:v>
      </x:c>
      <x:c r="F196" s="15" t="str">
        <x:v>Đang mở</x:v>
      </x:c>
      <x:c r="G196" s="19" t="n">
        <x:v>18</x:v>
      </x:c>
      <x:c r="H196" s="18" t="n">
        <x:v>1000000</x:v>
      </x:c>
    </x:row>
    <x:row r="197" ht="27" customHeight="1" hidden="1">
      <x:c r="A197" s="15" t="str">
        <x:v>KH196</x:v>
      </x:c>
      <x:c r="B197" s="15" t="str">
        <x:v>Mạng máy tính 20</x:v>
      </x:c>
      <x:c r="C197" s="15" t="str">
        <x:v>CNTT</x:v>
      </x:c>
      <x:c r="D197" s="15" t="str">
        <x:v>Cơ bản</x:v>
      </x:c>
      <x:c r="E197" s="15" t="str">
        <x:v>Kết hợp</x:v>
      </x:c>
      <x:c r="F197" s="15" t="str">
        <x:v>Đã đóng</x:v>
      </x:c>
      <x:c r="G197" s="19" t="n">
        <x:v>20</x:v>
      </x:c>
      <x:c r="H197" s="18" t="n">
        <x:v>1250000</x:v>
      </x:c>
    </x:row>
    <x:row r="198" ht="27" customHeight="1" hidden="1">
      <x:c r="A198" s="15" t="str">
        <x:v>KH197</x:v>
      </x:c>
      <x:c r="B198" s="15" t="str">
        <x:v>Excel 20</x:v>
      </x:c>
      <x:c r="C198" s="15" t="str">
        <x:v>CNTT</x:v>
      </x:c>
      <x:c r="D198" s="15" t="str">
        <x:v>Trung cấp</x:v>
      </x:c>
      <x:c r="E198" s="15" t="str">
        <x:v>Trực tuyến</x:v>
      </x:c>
      <x:c r="F198" s="15" t="str">
        <x:v>Đang mở</x:v>
      </x:c>
      <x:c r="G198" s="19" t="n">
        <x:v>22</x:v>
      </x:c>
      <x:c r="H198" s="18" t="n">
        <x:v>1500000</x:v>
      </x:c>
    </x:row>
    <x:row r="199" ht="27" customHeight="1" hidden="1">
      <x:c r="A199" s="15" t="str">
        <x:v>KH198</x:v>
      </x:c>
      <x:c r="B199" s="15" t="str">
        <x:v>Thiết kế UI UX 20</x:v>
      </x:c>
      <x:c r="C199" s="15" t="str">
        <x:v>QTKD</x:v>
      </x:c>
      <x:c r="D199" s="15" t="str">
        <x:v>Trung cấp</x:v>
      </x:c>
      <x:c r="E199" s="15" t="str">
        <x:v>Kết hợp</x:v>
      </x:c>
      <x:c r="F199" s="15" t="str">
        <x:v>Đang mở</x:v>
      </x:c>
      <x:c r="G199" s="19" t="n">
        <x:v>24</x:v>
      </x:c>
      <x:c r="H199" s="18" t="n">
        <x:v>1750000</x:v>
      </x:c>
    </x:row>
    <x:row r="200" ht="27" customHeight="1" hidden="1">
      <x:c r="A200" s="15" t="str">
        <x:v>KH199</x:v>
      </x:c>
      <x:c r="B200" s="15" t="str">
        <x:v>Marketing số 20</x:v>
      </x:c>
      <x:c r="C200" s="15" t="str">
        <x:v>DTVT</x:v>
      </x:c>
      <x:c r="D200" s="15" t="str">
        <x:v>Trung cấp</x:v>
      </x:c>
      <x:c r="E200" s="15" t="str">
        <x:v>Trực tuyến</x:v>
      </x:c>
      <x:c r="F200" s="15" t="str">
        <x:v>Đang mở</x:v>
      </x:c>
      <x:c r="G200" s="19" t="n">
        <x:v>8</x:v>
      </x:c>
      <x:c r="H200" s="18" t="n">
        <x:v>500000</x:v>
      </x:c>
    </x:row>
    <x:row r="201" ht="27" customHeight="1" hidden="1">
      <x:c r="A201" s="15" t="str">
        <x:v>KH200</x:v>
      </x:c>
      <x:c r="B201" s="15" t="str">
        <x:v>Tiếng Anh 20</x:v>
      </x:c>
      <x:c r="C201" s="15" t="str">
        <x:v>CNTT</x:v>
      </x:c>
      <x:c r="D201" s="15" t="str">
        <x:v>Trung cấp</x:v>
      </x:c>
      <x:c r="E201" s="15" t="str">
        <x:v>Kết hợp</x:v>
      </x:c>
      <x:c r="F201" s="15" t="str">
        <x:v>Đang mở</x:v>
      </x:c>
      <x:c r="G201" s="19" t="n">
        <x:v>10</x:v>
      </x:c>
      <x:c r="H201" s="18" t="n">
        <x:v>750000</x:v>
      </x:c>
    </x:row>
  </x:sheetData>
  <x:pageMargins left="0.25" right="0.25" top="0.4" bottom="0.4" header="0.2" footer="0.2"/>
  <x:pageSetup paperSize="9" orientation="landscape" fitToWidth="1" fitToHeight="0"/>
  <x:tableParts count="1">
    <x:tablePart xmlns:r="http://schemas.openxmlformats.org/officeDocument/2006/relationships" r:id="Rbe6c6fb615d842a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8" hidden="0" customWidth="1"/>
    <x:col min="3" max="3" width="28" hidden="0" customWidth="1"/>
    <x:col min="4" max="4" width="28" hidden="0" customWidth="1"/>
    <x:col min="5" max="5" width="27" hidden="0" customWidth="1"/>
    <x:col min="6" max="6" width="16" hidden="0" customWidth="1"/>
    <x:col min="7" max="7" width="20" hidden="0" customWidth="1"/>
    <x:col min="8" max="8" width="14" hidden="0" customWidth="1"/>
    <x:col min="9" max="9" width="14" hidden="0" customWidth="1"/>
  </x:cols>
  <x:sheetData>
    <x:row r="1" ht="38" customHeight="1">
      <x:c r="A1" s="12" t="str">
        <x:v>Tình huống</x:v>
      </x:c>
      <x:c r="B1" s="13" t="str">
        <x:v>Tên gốc</x:v>
      </x:c>
      <x:c r="C1" s="13" t="str">
        <x:v>Sau TRIM</x:v>
      </x:c>
      <x:c r="D1" s="13" t="str">
        <x:v>Sau chuẩn hóa</x:v>
      </x:c>
      <x:c r="E1" s="13" t="str">
        <x:v>Tên cần tìm</x:v>
      </x:c>
      <x:c r="F1" s="13" t="str">
        <x:v>Khớp TRIM</x:v>
      </x:c>
      <x:c r="G1" s="13" t="str">
        <x:v>Khớp chuẩn hóa</x:v>
      </x:c>
      <x:c r="H1" s="13" t="str">
        <x:v>LEN gốc</x:v>
      </x:c>
      <x:c r="I1" s="14" t="str">
        <x:v>LEN chuẩn</x:v>
      </x:c>
    </x:row>
    <x:row r="2" ht="27" customHeight="1">
      <x:c r="A2" s="15" t="str">
        <x:v>Dư khoảng trắng đầu cuối</x:v>
      </x:c>
      <x:c r="B2" s="15" t="str">
        <x:v>  Nguyễn Văn An  </x:v>
      </x:c>
      <x:c r="C2" s="15" t="str">
        <x:f>TRIM(B2)</x:f>
        <x:v>Nguyễn Văn An</x:v>
      </x:c>
      <x:c r="D2" s="15" t="str">
        <x:f>TRIM(CLEAN(SUBSTITUTE(B2,_xlfn.UNICHAR(160)," ")))</x:f>
        <x:v>Nguyễn Văn An</x:v>
      </x:c>
      <x:c r="E2" s="15" t="str">
        <x:v>Nguyễn Văn An</x:v>
      </x:c>
      <x:c r="F2" s="15" t="str">
        <x:f>IF(C2=E2,"Có","Không")</x:f>
        <x:v>Có</x:v>
      </x:c>
      <x:c r="G2" s="15" t="str">
        <x:f>IF(D2=E2,"Có","Không")</x:f>
        <x:v>Có</x:v>
      </x:c>
      <x:c r="H2" s="15" t="n">
        <x:f>LEN(B2)</x:f>
        <x:v>17</x:v>
      </x:c>
      <x:c r="I2" s="15" t="n">
        <x:f>LEN(D2)</x:f>
        <x:v>13</x:v>
      </x:c>
    </x:row>
    <x:row r="3" ht="27" customHeight="1">
      <x:c r="A3" s="15" t="str">
        <x:v>Dư khoảng trắng giữa từ</x:v>
      </x:c>
      <x:c r="B3" s="15" t="str">
        <x:v>Nguyễn   Văn    An</x:v>
      </x:c>
      <x:c r="C3" s="15" t="str">
        <x:f>TRIM(B3)</x:f>
        <x:v>Nguyễn Văn An</x:v>
      </x:c>
      <x:c r="D3" s="15" t="str">
        <x:f>TRIM(CLEAN(SUBSTITUTE(B3,_xlfn.UNICHAR(160)," ")))</x:f>
        <x:v>Nguyễn Văn An</x:v>
      </x:c>
      <x:c r="E3" s="15" t="str">
        <x:v>Nguyễn Văn An</x:v>
      </x:c>
      <x:c r="F3" s="15" t="str">
        <x:f>IF(C3=E3,"Có","Không")</x:f>
        <x:v>Có</x:v>
      </x:c>
      <x:c r="G3" s="15" t="str">
        <x:f>IF(D3=E3,"Có","Không")</x:f>
        <x:v>Có</x:v>
      </x:c>
      <x:c r="H3" s="15" t="n">
        <x:f>LEN(B3)</x:f>
        <x:v>18</x:v>
      </x:c>
      <x:c r="I3" s="15" t="n">
        <x:f>LEN(D3)</x:f>
        <x:v>13</x:v>
      </x:c>
    </x:row>
    <x:row r="4" ht="27" customHeight="1">
      <x:c r="A4" s="15" t="str">
        <x:v>Khoảng trắng NBSP</x:v>
      </x:c>
      <x:c r="B4" s="15" t="str">
        <x:v>Nguyễn Văn An</x:v>
      </x:c>
      <x:c r="C4" s="15" t="str">
        <x:f>TRIM(B4)</x:f>
        <x:v>Nguyễn Văn An</x:v>
      </x:c>
      <x:c r="D4" s="15" t="str">
        <x:f>TRIM(CLEAN(SUBSTITUTE(B4,_xlfn.UNICHAR(160)," ")))</x:f>
        <x:v>Nguyễn Văn An</x:v>
      </x:c>
      <x:c r="E4" s="15" t="str">
        <x:v>Nguyễn Văn An</x:v>
      </x:c>
      <x:c r="F4" s="15" t="str">
        <x:f>IF(C4=E4,"Có","Không")</x:f>
        <x:v>Không</x:v>
      </x:c>
      <x:c r="G4" s="15" t="str">
        <x:f>IF(D4=E4,"Có","Không")</x:f>
        <x:v>Có</x:v>
      </x:c>
      <x:c r="H4" s="15" t="n">
        <x:f>LEN(B4)</x:f>
        <x:v>13</x:v>
      </x:c>
      <x:c r="I4" s="15" t="n">
        <x:f>LEN(D4)</x:f>
        <x:v>13</x:v>
      </x:c>
    </x:row>
    <x:row r="5" ht="27" customHeight="1">
      <x:c r="A5" s="15" t="str">
        <x:v>Tên đã sạch</x:v>
      </x:c>
      <x:c r="B5" s="15" t="str">
        <x:v>Nguyễn Văn An</x:v>
      </x:c>
      <x:c r="C5" s="15" t="str">
        <x:f>TRIM(B5)</x:f>
        <x:v>Nguyễn Văn An</x:v>
      </x:c>
      <x:c r="D5" s="15" t="str">
        <x:f>TRIM(CLEAN(SUBSTITUTE(B5,_xlfn.UNICHAR(160)," ")))</x:f>
        <x:v>Nguyễn Văn An</x:v>
      </x:c>
      <x:c r="E5" s="15" t="str">
        <x:v>Nguyễn Văn An</x:v>
      </x:c>
      <x:c r="F5" s="15" t="str">
        <x:f>IF(C5=E5,"Có","Không")</x:f>
        <x:v>Có</x:v>
      </x:c>
      <x:c r="G5" s="15" t="str">
        <x:f>IF(D5=E5,"Có","Không")</x:f>
        <x:v>Có</x:v>
      </x:c>
      <x:c r="H5" s="15" t="n">
        <x:f>LEN(B5)</x:f>
        <x:v>13</x:v>
      </x:c>
      <x:c r="I5" s="15" t="n">
        <x:f>LEN(D5)</x:f>
        <x:v>13</x:v>
      </x:c>
    </x:row>
    <x:row r="6" ht="27" customHeight="1">
      <x:c r="A6" s="15" t="str">
        <x:v>Tên có dấu khác nhau</x:v>
      </x:c>
      <x:c r="B6" s="15" t="str">
        <x:v>Nguyễn Văn Ân</x:v>
      </x:c>
      <x:c r="C6" s="15" t="str">
        <x:f>TRIM(B6)</x:f>
        <x:v>Nguyễn Văn Ân</x:v>
      </x:c>
      <x:c r="D6" s="15" t="str">
        <x:f>TRIM(CLEAN(SUBSTITUTE(B6,_xlfn.UNICHAR(160)," ")))</x:f>
        <x:v>Nguyễn Văn Ân</x:v>
      </x:c>
      <x:c r="E6" s="15" t="str">
        <x:v>Nguyễn Văn An</x:v>
      </x:c>
      <x:c r="F6" s="15" t="str">
        <x:f>IF(C6=E6,"Có","Không")</x:f>
        <x:v>Không</x:v>
      </x:c>
      <x:c r="G6" s="15" t="str">
        <x:f>IF(D6=E6,"Có","Không")</x:f>
        <x:v>Không</x:v>
      </x:c>
      <x:c r="H6" s="15" t="n">
        <x:f>LEN(B6)</x:f>
        <x:v>13</x:v>
      </x:c>
      <x:c r="I6" s="15" t="n">
        <x:f>LEN(D6)</x:f>
        <x:v>13</x:v>
      </x:c>
    </x:row>
  </x:sheetData>
  <x:conditionalFormatting sqref="F2:G6">
    <x:cfRule type="containsText" dxfId="1" priority="1" operator="containsText" text="Không"/>
  </x:conditionalFormatting>
  <x:pageMargins left="0.7" right="0.7" top="0.75" bottom="0.75" header="0.3" footer="0.3"/>
  <x:tableParts count="1">
    <x:tablePart xmlns:r="http://schemas.openxmlformats.org/officeDocument/2006/relationships" r:id="R720d9c3dc81c475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112" hidden="0" customWidth="1"/>
  </x:cols>
  <x:sheetData>
    <x:row r="1" ht="38" customHeight="1">
      <x:c r="A1" s="12" t="str">
        <x:v>Nội dung</x:v>
      </x:c>
      <x:c r="B1" s="14" t="str">
        <x:v>Thao tác hoặc kết quả</x:v>
      </x:c>
    </x:row>
    <x:row r="2" ht="37" customHeight="1">
      <x:c r="A2" s="15" t="str">
        <x:v>Nguồn dữ liệu</x:v>
      </x:c>
      <x:c r="B2" s="20" t="str">
        <x:v>Dữ liệu giả lập cho bài tập PTIT-Learning. Không phải hồ sơ sinh viên thực.</x:v>
      </x:c>
    </x:row>
    <x:row r="3" ht="37" customHeight="1">
      <x:c r="A3" s="15" t="str">
        <x:v>Sinh viên</x:v>
      </x:c>
      <x:c r="B3" s="20" t="str">
        <x:v>200 bản ghi. Mỗi hàng là một sinh viên đăng ký một khóa học.</x:v>
      </x:c>
    </x:row>
    <x:row r="4" ht="37" customHeight="1">
      <x:c r="A4" s="15" t="str">
        <x:v>Khóa học</x:v>
      </x:c>
      <x:c r="B4" s="20" t="str">
        <x:v>200 khóa học có mã KH001 đến KH200.</x:v>
      </x:c>
    </x:row>
    <x:row r="5" ht="37" customHeight="1">
      <x:c r="A5" s="15" t="str">
        <x:v>Bộ lọc sinh viên</x:v>
      </x:c>
      <x:c r="B5" s="20" t="str">
        <x:v>Khoa = CNTT VÀ Điểm chuyên cần &lt; 7. Hai điều kiện cùng đúng.</x:v>
      </x:c>
    </x:row>
    <x:row r="6" ht="37" customHeight="1">
      <x:c r="A6" s="15" t="str">
        <x:v>Số sinh viên thỏa điều kiện</x:v>
      </x:c>
      <x:c r="B6" s="20" t="n">
        <x:f>COUNTIFS(SinhVien!D2:D201,"CNTT",SinhVien!F2:F201,"&lt;7")</x:f>
        <x:v>70</x:v>
      </x:c>
    </x:row>
    <x:row r="7" ht="37" customHeight="1">
      <x:c r="A7" s="15" t="str">
        <x:v>Số sinh viên đang hiển thị</x:v>
      </x:c>
      <x:c r="B7" s="20">
        <x:f>SUBTOTAL(103,SinhVien!A2:A201)</x:f>
        <x:v>70</x:v>
      </x:c>
    </x:row>
    <x:row r="8" ht="37" customHeight="1">
      <x:c r="A8" s="15" t="str">
        <x:v>Bộ lọc khóa học</x:v>
      </x:c>
      <x:c r="B8" s="20" t="str">
        <x:v>Khoa = CNTT VÀ Trình độ = Cơ bản VÀ Trạng thái = Đang mở.</x:v>
      </x:c>
    </x:row>
    <x:row r="9" ht="37" customHeight="1">
      <x:c r="A9" s="15" t="str">
        <x:v>Số khóa học thỏa điều kiện</x:v>
      </x:c>
      <x:c r="B9" s="20" t="n">
        <x:f>COUNTIFS(KhoaHoc!C2:C201,"CNTT",KhoaHoc!D2:D201,"Cơ bản",KhoaHoc!F2:F201,"Đang mở")</x:f>
        <x:v>26</x:v>
      </x:c>
    </x:row>
    <x:row r="10" ht="37" customHeight="1">
      <x:c r="A10" s="15" t="str">
        <x:v>Số khóa học đang hiển thị</x:v>
      </x:c>
      <x:c r="B10" s="20">
        <x:f>SUBTOTAL(103,KhoaHoc!A2:A201)</x:f>
        <x:v>26</x:v>
      </x:c>
    </x:row>
    <x:row r="11" ht="37" customHeight="1">
      <x:c r="A11" s="15" t="str">
        <x:v>Bật hoặc tắt AutoFilter</x:v>
      </x:c>
      <x:c r="B11" s="20" t="str">
        <x:v>Chọn ô trong dữ liệu, nhấn Ctrl + Shift + L trên Excel Windows.</x:v>
      </x:c>
    </x:row>
    <x:row r="12" ht="37" customHeight="1">
      <x:c r="A12" s="15" t="str">
        <x:v>Trạng thái khi mở</x:v>
      </x:c>
      <x:c r="B12" s="20" t="str">
        <x:v>Hai sheet dữ liệu đã bật AutoFilter và lưu sẵn điều kiện lọc.</x:v>
      </x:c>
    </x:row>
    <x:row r="13" ht="37" customHeight="1">
      <x:c r="A13" s="15" t="str">
        <x:v>Thực hành lại từ đầu</x:v>
      </x:c>
      <x:c r="B13" s="20" t="str">
        <x:v>Data &gt; Clear để bỏ điều kiện. Nếu muốn tập phím tắt, tắt rồi bật lại bộ lọc.</x:v>
      </x:c>
    </x:row>
    <x:row r="14" ht="37" customHeight="1">
      <x:c r="A14" s="15" t="str">
        <x:v>Lọc khoa</x:v>
      </x:c>
      <x:c r="B14" s="20" t="str">
        <x:v>SinhVien: cột D, bỏ Select All rồi chỉ chọn CNTT.</x:v>
      </x:c>
    </x:row>
    <x:row r="15" ht="37" customHeight="1">
      <x:c r="A15" s="15" t="str">
        <x:v>Lọc điểm</x:v>
      </x:c>
      <x:c r="B15" s="20" t="str">
        <x:v>SinhVien: cột F &gt; Number Filters &gt; Less Than &gt; nhập 7 &gt; OK.</x:v>
      </x:c>
    </x:row>
    <x:row r="16" ht="37" customHeight="1">
      <x:c r="A16" s="15" t="str">
        <x:v>Điểm biên</x:v>
      </x:c>
      <x:c r="B16" s="20" t="str">
        <x:v>SV002 có điểm 7.0 nên không hiển thị. SV004 có 6.9 nên hiển thị.</x:v>
      </x:c>
    </x:row>
    <x:row r="17" ht="37" customHeight="1">
      <x:c r="A17" s="15" t="str">
        <x:v>Đếm sau khi đổi dữ liệu</x:v>
      </x:c>
      <x:c r="B17" s="20" t="str">
        <x:v>Data &gt; Reapply hoặc Ctrl + Alt + L để áp lại điều kiện lọc.</x:v>
      </x:c>
    </x:row>
    <x:row r="18" ht="37" customHeight="1">
      <x:c r="A18" s="15" t="str">
        <x:v>TRIM cơ bản</x:v>
      </x:c>
      <x:c r="B18" s="20" t="str">
        <x:v>=TRIM(B2)</x:v>
      </x:c>
    </x:row>
    <x:row r="19" ht="37" customHeight="1">
      <x:c r="A19" s="15" t="str">
        <x:v>Chuẩn hóa khoảng trắng web</x:v>
      </x:c>
      <x:c r="B19" s="20" t="str">
        <x:v>=TRIM(CLEAN(SUBSTITUTE(B2,UNICHAR(160)," ")))</x:v>
      </x:c>
    </x:row>
    <x:row r="20" ht="37" customHeight="1">
      <x:c r="A20" s="15" t="str">
        <x:v>Thay tên trong bảng gốc</x:v>
      </x:c>
      <x:c r="B20" s="20" t="str">
        <x:v>Sao chép cột tên đã sạch &gt; Paste Special &gt; Values, sau đó lọc lại.</x:v>
      </x:c>
    </x:row>
    <x:row r="21" ht="37" customHeight="1">
      <x:c r="A21" s="15" t="str">
        <x:v>Giới hạn TRIM</x:v>
      </x:c>
      <x:c r="B21" s="20" t="str">
        <x:v>TRIM không tự xóa NBSP hay mọi ký tự Unicode ẩn. Không tự sửa dấu tên.</x:v>
      </x:c>
    </x:row>
    <x:row r="22" ht="37" customHeight="1">
      <x:c r="A22" s="15" t="str">
        <x:v>Dấu phân cách công thức</x:v>
      </x:c>
      <x:c r="B22" s="20" t="str">
        <x:v>Nếu Excel yêu cầu dấu chấm phẩy, thay dấu phẩy bằng dấu chấm phẩy.</x:v>
      </x:c>
    </x:row>
    <x:row r="23" ht="37" customHeight="1">
      <x:c r="A23" s="15" t="str">
        <x:v>Cấu trúc bảng</x:v>
      </x:c>
      <x:c r="B23" s="20" t="str">
        <x:v>Dòng 1 là header duy nhất. Không ghép ô, không chèn tổng cộng giữa dữ liệu.</x:v>
      </x:c>
    </x:row>
  </x:sheetData>
  <x:pageMargins left="0.7" right="0.7" top="0.75" bottom="0.75" header="0.3" footer="0.3"/>
  <x:tableParts count="1">
    <x:tablePart xmlns:r="http://schemas.openxmlformats.org/officeDocument/2006/relationships" r:id="R90ff3b1e440a48cd"/>
  </x:tableParts>
</x:worksheet>
</file>